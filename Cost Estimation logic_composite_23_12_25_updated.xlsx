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GOKUL\ADA\composites _  24-12-2025\"/>
    </mc:Choice>
  </mc:AlternateContent>
  <xr:revisionPtr revIDLastSave="0" documentId="13_ncr:1_{442CC791-A3F5-4BDC-8362-CE38F0E785FD}" xr6:coauthVersionLast="47" xr6:coauthVersionMax="47" xr10:uidLastSave="{00000000-0000-0000-0000-000000000000}"/>
  <bookViews>
    <workbookView xWindow="3030" yWindow="105" windowWidth="21045" windowHeight="15495" xr2:uid="{6C4B8DE5-EE71-4A9A-9D37-BCD20B9FD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3" i="1" l="1"/>
  <c r="J123" i="1"/>
  <c r="L123" i="1"/>
  <c r="P123" i="1"/>
  <c r="K131" i="1" s="1"/>
  <c r="I131" i="1"/>
  <c r="H131" i="1"/>
  <c r="L116" i="1"/>
  <c r="K116" i="1"/>
  <c r="J116" i="1"/>
  <c r="H116" i="1"/>
  <c r="I116" i="1"/>
  <c r="F116" i="1"/>
  <c r="B116" i="1"/>
  <c r="D131" i="1"/>
  <c r="G123" i="1"/>
  <c r="E123" i="1"/>
  <c r="D123" i="1"/>
  <c r="C123" i="1"/>
  <c r="B123" i="1"/>
  <c r="G116" i="1"/>
  <c r="C116" i="1"/>
  <c r="C122" i="1"/>
  <c r="B122" i="1"/>
  <c r="L115" i="1"/>
  <c r="K115" i="1"/>
  <c r="J115" i="1"/>
  <c r="I115" i="1"/>
  <c r="H115" i="1"/>
  <c r="G115" i="1"/>
  <c r="F115" i="1"/>
  <c r="E115" i="1"/>
  <c r="D115" i="1"/>
  <c r="C115" i="1"/>
  <c r="B115" i="1"/>
  <c r="R107" i="1"/>
  <c r="Q107" i="1"/>
  <c r="P107" i="1"/>
  <c r="N108" i="1"/>
  <c r="N107" i="1"/>
  <c r="M107" i="1"/>
  <c r="K107" i="1"/>
  <c r="B130" i="1"/>
  <c r="D132" i="1"/>
  <c r="E132" i="1" s="1"/>
  <c r="E131" i="1"/>
  <c r="D130" i="1"/>
  <c r="E130" i="1" s="1"/>
  <c r="H123" i="1"/>
  <c r="G124" i="1"/>
  <c r="H124" i="1" s="1"/>
  <c r="G122" i="1"/>
  <c r="H122" i="1" s="1"/>
  <c r="H117" i="1"/>
  <c r="I117" i="1" s="1"/>
  <c r="I132" i="1"/>
  <c r="I130" i="1"/>
  <c r="H132" i="1"/>
  <c r="H130" i="1"/>
  <c r="I124" i="1"/>
  <c r="J124" i="1" s="1"/>
  <c r="I123" i="1"/>
  <c r="I122" i="1"/>
  <c r="J122" i="1" s="1"/>
  <c r="G132" i="1"/>
  <c r="G131" i="1"/>
  <c r="G130" i="1"/>
  <c r="M124" i="1"/>
  <c r="M122" i="1"/>
  <c r="K123" i="1"/>
  <c r="K124" i="1"/>
  <c r="L124" i="1" s="1"/>
  <c r="K122" i="1"/>
  <c r="L122" i="1" s="1"/>
  <c r="C124" i="1"/>
  <c r="K117" i="1"/>
  <c r="J117" i="1"/>
  <c r="F117" i="1"/>
  <c r="G117" i="1" s="1"/>
  <c r="B117" i="1"/>
  <c r="C117" i="1" s="1"/>
  <c r="K108" i="1"/>
  <c r="K109" i="1"/>
  <c r="J107" i="1" l="1"/>
  <c r="I107" i="1"/>
  <c r="B124" i="1"/>
  <c r="Q109" i="1" l="1"/>
  <c r="N109" i="1"/>
  <c r="P109" i="1" s="1"/>
  <c r="B132" i="1" s="1"/>
  <c r="C132" i="1" s="1"/>
  <c r="M109" i="1"/>
  <c r="Q108" i="1"/>
  <c r="P108" i="1"/>
  <c r="B131" i="1" s="1"/>
  <c r="C131" i="1" s="1"/>
  <c r="M108" i="1"/>
  <c r="D122" i="1"/>
  <c r="E122" i="1" s="1"/>
  <c r="F122" i="1" s="1"/>
  <c r="C130" i="1"/>
  <c r="R108" i="1" l="1"/>
  <c r="E116" i="1"/>
  <c r="E117" i="1"/>
  <c r="R109" i="1"/>
  <c r="N122" i="1"/>
  <c r="O122" i="1"/>
  <c r="O123" i="1"/>
  <c r="N123" i="1"/>
  <c r="D124" i="1"/>
  <c r="D116" i="1"/>
  <c r="D117" i="1"/>
  <c r="F123" i="1"/>
  <c r="E124" i="1" l="1"/>
  <c r="F124" i="1" s="1"/>
  <c r="N124" i="1"/>
  <c r="O124" i="1"/>
  <c r="L117" i="1"/>
  <c r="P122" i="1"/>
  <c r="P124" i="1" l="1"/>
  <c r="F132" i="1" l="1"/>
  <c r="J132" i="1" s="1"/>
  <c r="K132" i="1" s="1"/>
  <c r="F131" i="1"/>
  <c r="J131" i="1" s="1"/>
  <c r="F130" i="1"/>
  <c r="J130" i="1" s="1"/>
  <c r="K130" i="1" s="1"/>
  <c r="N130" i="1" l="1"/>
  <c r="L130" i="1"/>
  <c r="M130" i="1"/>
  <c r="M131" i="1"/>
  <c r="L131" i="1"/>
  <c r="N131" i="1"/>
  <c r="L132" i="1"/>
  <c r="M132" i="1"/>
  <c r="N132" i="1"/>
  <c r="O130" i="1" l="1"/>
  <c r="O132" i="1"/>
  <c r="O131" i="1"/>
</calcChain>
</file>

<file path=xl/sharedStrings.xml><?xml version="1.0" encoding="utf-8"?>
<sst xmlns="http://schemas.openxmlformats.org/spreadsheetml/2006/main" count="204" uniqueCount="162">
  <si>
    <t>MASTER MODEL COST</t>
  </si>
  <si>
    <t>TOOL COST</t>
  </si>
  <si>
    <t>SL NO</t>
  </si>
  <si>
    <t>MATERIAL SPEC</t>
  </si>
  <si>
    <t>T/HEIGHT</t>
  </si>
  <si>
    <t>STOCK SIZE W</t>
  </si>
  <si>
    <t>STOCK SIZE L</t>
  </si>
  <si>
    <t>NO OF LAYERS</t>
  </si>
  <si>
    <t>Density
(kg/m^3)</t>
  </si>
  <si>
    <t>Tool Stock weight in Kg</t>
  </si>
  <si>
    <t>FINISHING COST</t>
  </si>
  <si>
    <t>INSPECTION COST</t>
  </si>
  <si>
    <t>TOTAL MASTER MODEL COST</t>
  </si>
  <si>
    <t>SURFACE AREA IN (m2)</t>
  </si>
  <si>
    <t>INCREASED THICKNESS OF TOOL</t>
  </si>
  <si>
    <t>TOTAL SURFACE AREA</t>
  </si>
  <si>
    <t>LAYUP COST</t>
  </si>
  <si>
    <t>OVEN CURING COST@3000/hr</t>
  </si>
  <si>
    <t>LT INSPECTION COST@50000/PART</t>
  </si>
  <si>
    <t>TRIMMING &amp; INSPECTION</t>
  </si>
  <si>
    <t>SUB STRUCTURE COST</t>
  </si>
  <si>
    <t>TOTAL TOOL COST</t>
  </si>
  <si>
    <t>Composite part wt.@40% Extra</t>
  </si>
  <si>
    <t xml:space="preserve">AUTOCLAVE CURING </t>
  </si>
  <si>
    <t xml:space="preserve">TRIMMING &amp; INSPECTION </t>
  </si>
  <si>
    <t xml:space="preserve">NDTS  </t>
  </si>
  <si>
    <t>TOTAL PART COST</t>
  </si>
  <si>
    <t>Total Tool cost + Part Cost</t>
  </si>
  <si>
    <t>Import/Export cost @ 5%</t>
  </si>
  <si>
    <t>Contigency @10%</t>
  </si>
  <si>
    <t>GST (18%)</t>
  </si>
  <si>
    <t>TOTAL COST</t>
  </si>
  <si>
    <t>COST</t>
  </si>
  <si>
    <t>NO OF TIMES</t>
  </si>
  <si>
    <t>914K-285-50%</t>
  </si>
  <si>
    <t>.</t>
  </si>
  <si>
    <t>.stp file</t>
  </si>
  <si>
    <t>CALCULATION WITH TYPICAL EXAMPLES</t>
  </si>
  <si>
    <t>Hexply/8552/33%/IM7(12K)/300MM</t>
  </si>
  <si>
    <t xml:space="preserve">HEXPLY914/34%/UD160/AS4-12k/300MM </t>
  </si>
  <si>
    <t>CARBON BD</t>
  </si>
  <si>
    <t xml:space="preserve">HEXPLY914/40%/285H5 AS4-3k/1170MM </t>
  </si>
  <si>
    <t>HEXPLY914/40%/803</t>
  </si>
  <si>
    <t>GLASS</t>
  </si>
  <si>
    <t>Hexply 914G-120-45%</t>
  </si>
  <si>
    <t>Hexply 914G-7781-37%</t>
  </si>
  <si>
    <t>Hexply 8552-7781-37%</t>
  </si>
  <si>
    <t>ADHESIVE</t>
  </si>
  <si>
    <t>REDUX 319A-400GSM</t>
  </si>
  <si>
    <t>COPPERMESS</t>
  </si>
  <si>
    <t>HEXPLY-C.MESH-40%</t>
  </si>
  <si>
    <t>KEVLAR</t>
  </si>
  <si>
    <t>CORE</t>
  </si>
  <si>
    <t>N.FLEX CORE HRH-10-F50-3.5</t>
  </si>
  <si>
    <t>MATERIAL</t>
  </si>
  <si>
    <t>SPEC</t>
  </si>
  <si>
    <t>Material spec(CHOOSE FROM DROP DOWN)</t>
  </si>
  <si>
    <t>COMPOSITES PREPREGS</t>
  </si>
  <si>
    <t>0.13</t>
  </si>
  <si>
    <t>0.15</t>
  </si>
  <si>
    <t xml:space="preserve">0.3 </t>
  </si>
  <si>
    <t>0.11</t>
  </si>
  <si>
    <t>0.23</t>
  </si>
  <si>
    <t>0.24</t>
  </si>
  <si>
    <t xml:space="preserve">0.1 </t>
  </si>
  <si>
    <t>0.25</t>
  </si>
  <si>
    <t>DENSITY kg/m3</t>
  </si>
  <si>
    <t>THICKNESS in mm (t)</t>
  </si>
  <si>
    <t>THICKNESS (T)</t>
  </si>
  <si>
    <t>MASS IN kg</t>
  </si>
  <si>
    <t>Rs/ m3</t>
  </si>
  <si>
    <t>Rs</t>
  </si>
  <si>
    <t>kg/m3</t>
  </si>
  <si>
    <t>DESIGN COST</t>
  </si>
  <si>
    <t>Rs/hr</t>
  </si>
  <si>
    <t>NO.OF  DSGN HOURS</t>
  </si>
  <si>
    <t>FRAME FABRICATION COST</t>
  </si>
  <si>
    <t>Rs/m3</t>
  </si>
  <si>
    <t>MACHINING  COST</t>
  </si>
  <si>
    <t>NO OF  ASSY HOURS</t>
  </si>
  <si>
    <t>NO OF MACHINING HOURS</t>
  </si>
  <si>
    <t>ASSY  COST</t>
  </si>
  <si>
    <t>PART TOOL</t>
  </si>
  <si>
    <t>Rs/Sq.m</t>
  </si>
  <si>
    <t>Rs/Hr</t>
  </si>
  <si>
    <t>NO OF HOURS</t>
  </si>
  <si>
    <t>OVEN CURING COST</t>
  </si>
  <si>
    <t>LT INSPECTION COST</t>
  </si>
  <si>
    <t>Rs/Part</t>
  </si>
  <si>
    <t xml:space="preserve">COST FOR FABRICATION CFC TUBES </t>
  </si>
  <si>
    <t>COST FOR BONDING AND RIVETING</t>
  </si>
  <si>
    <r>
      <rPr>
        <b/>
        <i/>
        <sz val="11"/>
        <color theme="1"/>
        <rFont val="Aptos Narrow"/>
        <scheme val="minor"/>
      </rPr>
      <t>Bounding Box Size</t>
    </r>
    <r>
      <rPr>
        <i/>
        <sz val="11"/>
        <color theme="1"/>
        <rFont val="Aptos Narrow"/>
        <scheme val="minor"/>
      </rPr>
      <t xml:space="preserve">:, Length (L), Width (W), Height (H), </t>
    </r>
  </si>
  <si>
    <r>
      <t xml:space="preserve">Other parameters:  </t>
    </r>
    <r>
      <rPr>
        <i/>
        <sz val="11"/>
        <color theme="1"/>
        <rFont val="Aptos Narrow"/>
        <scheme val="minor"/>
      </rPr>
      <t>Thickness (T), Surface area of one ply(A)</t>
    </r>
  </si>
  <si>
    <t>CARBON UD 8552</t>
  </si>
  <si>
    <t>CARBON UD 914</t>
  </si>
  <si>
    <t>CARBON BD 914</t>
  </si>
  <si>
    <t>GLASS 914</t>
  </si>
  <si>
    <t>GLASS 8552</t>
  </si>
  <si>
    <r>
      <rPr>
        <b/>
        <i/>
        <sz val="11"/>
        <color theme="1"/>
        <rFont val="Aptos Narrow"/>
        <scheme val="minor"/>
      </rPr>
      <t>M.Stock Size:</t>
    </r>
    <r>
      <rPr>
        <i/>
        <sz val="11"/>
        <color theme="1"/>
        <rFont val="Aptos Narrow"/>
        <scheme val="minor"/>
      </rPr>
      <t xml:space="preserve"> W+100, L+100 </t>
    </r>
  </si>
  <si>
    <t>PART 1</t>
  </si>
  <si>
    <t>PART 2</t>
  </si>
  <si>
    <t>PART 3</t>
  </si>
  <si>
    <t>COST OF DRY CARBON FABRIC</t>
  </si>
  <si>
    <t>Design Hours</t>
  </si>
  <si>
    <t>Machining Hour</t>
  </si>
  <si>
    <t>Assy hour</t>
  </si>
  <si>
    <t>Finishing Hour</t>
  </si>
  <si>
    <t>Inspection Hour</t>
  </si>
  <si>
    <t>0-2</t>
  </si>
  <si>
    <t>2-4</t>
  </si>
  <si>
    <t>4-10</t>
  </si>
  <si>
    <t>EPOXY BLOCK Density</t>
  </si>
  <si>
    <t>EPOXY BLOCK Bonding cost</t>
  </si>
  <si>
    <t xml:space="preserve"> MASTER TOOL</t>
  </si>
  <si>
    <t>EPOXY BLOCK material cost</t>
  </si>
  <si>
    <t>RS/hr</t>
  </si>
  <si>
    <t>mm</t>
  </si>
  <si>
    <t>Added Thickness for Tool</t>
  </si>
  <si>
    <t>Part Name</t>
  </si>
  <si>
    <t>Percentage of surface area to be increased</t>
  </si>
  <si>
    <t>MASTER TOOL</t>
  </si>
  <si>
    <t>Curing hour</t>
  </si>
  <si>
    <t>Number of Inspection time</t>
  </si>
  <si>
    <t>Trimming and Inspection Hour</t>
  </si>
  <si>
    <t>RS/hour</t>
  </si>
  <si>
    <t>Layup  man-hours</t>
  </si>
  <si>
    <t>PART FABRICATION COST</t>
  </si>
  <si>
    <t>Extra Percentage  for Prepeg weight wrt Composite part weight</t>
  </si>
  <si>
    <t>NO OF MAN-HOURS</t>
  </si>
  <si>
    <t>No.Of MAN- HOURS</t>
  </si>
  <si>
    <t>Percentage of Consumable cost wrt Prepeg cost</t>
  </si>
  <si>
    <t xml:space="preserve">Consumables Cost </t>
  </si>
  <si>
    <t>Rs/hour</t>
  </si>
  <si>
    <t>NDTS Hour</t>
  </si>
  <si>
    <t>Rs/ hr</t>
  </si>
  <si>
    <t>COST OF EPOXY BLOCK +Bonding cost</t>
  </si>
  <si>
    <t>VOLUME OF COMPOSITE TOOL (V) IN m3</t>
  </si>
  <si>
    <t>MACHINING COST</t>
  </si>
  <si>
    <t>ASSEMBLY COST</t>
  </si>
  <si>
    <t>LENGTH, L</t>
  </si>
  <si>
    <t>WIDTH, W</t>
  </si>
  <si>
    <t xml:space="preserve">SURFACE AREA OF ONE PLY, A (m^2) </t>
  </si>
  <si>
    <t>Volume of Part (m^3)</t>
  </si>
  <si>
    <t>DEFAULT DATABASE (Editable, Calculation to be Done Backhand)</t>
  </si>
  <si>
    <t>DERIVED DATA (Derived from CAD Model)</t>
  </si>
  <si>
    <t>INPUT DATA (To be shown in UI)</t>
  </si>
  <si>
    <t>Volume (V) of composite tool in m3</t>
  </si>
  <si>
    <t>COST OF DRY CARBON FABRIC PER Sq.m</t>
  </si>
  <si>
    <t>PREPEG Cost/ Kg</t>
  </si>
  <si>
    <t xml:space="preserve">LAYUP COST </t>
  </si>
  <si>
    <t>0-50</t>
  </si>
  <si>
    <t>50-150</t>
  </si>
  <si>
    <t>150-300</t>
  </si>
  <si>
    <t xml:space="preserve">TOTAL SURFACE AREA, A1
(m^2) </t>
  </si>
  <si>
    <t>INCREASED SURFACE AREA, A2</t>
  </si>
  <si>
    <t>Total Surface Area, A1</t>
  </si>
  <si>
    <t>Increased Surface Area, A2</t>
  </si>
  <si>
    <t>0-30</t>
  </si>
  <si>
    <t>30-80</t>
  </si>
  <si>
    <t>80-150</t>
  </si>
  <si>
    <t xml:space="preserve">Prepreg Cost </t>
  </si>
  <si>
    <t>Part Layup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</si>
</sst>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i/>
      <sz val="11"/>
      <color theme="1"/>
      <name val="Aptos Narrow"/>
      <scheme val="minor"/>
    </font>
    <font>
      <i/>
      <sz val="11"/>
      <color theme="1"/>
      <name val="Aptos Narrow"/>
      <scheme val="minor"/>
    </font>
    <font>
      <b/>
      <i/>
      <sz val="12"/>
      <color theme="1"/>
      <name val="Century Schoolbook"/>
      <family val="1"/>
    </font>
    <font>
      <b/>
      <i/>
      <sz val="12"/>
      <name val="Century Schoolbook"/>
      <family val="1"/>
    </font>
    <font>
      <i/>
      <sz val="12"/>
      <color theme="1"/>
      <name val="Century Schoolbook"/>
      <family val="1"/>
    </font>
    <font>
      <sz val="8"/>
      <name val="Aptos Narrow"/>
      <family val="2"/>
      <scheme val="minor"/>
    </font>
    <font>
      <b/>
      <sz val="2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CF5E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5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165" fontId="6" fillId="0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64" fontId="6" fillId="0" borderId="4" xfId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49" fontId="0" fillId="0" borderId="4" xfId="3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3" fillId="13" borderId="4" xfId="2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13" fillId="14" borderId="4" xfId="2" applyFont="1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13" fillId="15" borderId="4" xfId="2" applyFont="1" applyFill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3" fillId="7" borderId="4" xfId="2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12" fillId="17" borderId="4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 wrapText="1"/>
    </xf>
    <xf numFmtId="0" fontId="12" fillId="13" borderId="4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2" fontId="6" fillId="0" borderId="4" xfId="0" applyNumberFormat="1" applyFont="1" applyFill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4" fillId="0" borderId="0" xfId="2" applyFont="1" applyFill="1" applyBorder="1" applyAlignment="1">
      <alignment vertical="center" wrapText="1"/>
    </xf>
    <xf numFmtId="0" fontId="4" fillId="18" borderId="4" xfId="2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7" fillId="9" borderId="5" xfId="0" applyFont="1" applyFill="1" applyBorder="1" applyAlignment="1">
      <alignment horizontal="center" vertical="top"/>
    </xf>
    <xf numFmtId="0" fontId="7" fillId="9" borderId="7" xfId="0" applyFont="1" applyFill="1" applyBorder="1" applyAlignment="1">
      <alignment horizontal="center" vertical="top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top"/>
    </xf>
    <xf numFmtId="0" fontId="7" fillId="3" borderId="2" xfId="0" applyFont="1" applyFill="1" applyBorder="1" applyAlignment="1">
      <alignment horizontal="center" vertical="top"/>
    </xf>
    <xf numFmtId="0" fontId="17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6" fillId="3" borderId="1" xfId="2" applyFont="1" applyFill="1" applyBorder="1" applyAlignment="1">
      <alignment horizontal="center" vertical="center" wrapText="1"/>
    </xf>
    <xf numFmtId="0" fontId="16" fillId="3" borderId="2" xfId="2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top"/>
    </xf>
    <xf numFmtId="0" fontId="16" fillId="3" borderId="4" xfId="2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>
      <alignment horizontal="center" vertical="center" wrapText="1"/>
    </xf>
    <xf numFmtId="0" fontId="5" fillId="18" borderId="2" xfId="0" applyFont="1" applyFill="1" applyBorder="1" applyAlignment="1">
      <alignment horizontal="center" vertical="center" wrapText="1"/>
    </xf>
    <xf numFmtId="0" fontId="16" fillId="3" borderId="3" xfId="2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E234A647-B681-4FF1-A628-89004E62367D}"/>
    <cellStyle name="Percent" xfId="3" builtinId="5"/>
  </cellStyles>
  <dxfs count="0"/>
  <tableStyles count="0" defaultTableStyle="TableStyleMedium2" defaultPivotStyle="PivotStyleLight16"/>
  <colors>
    <mruColors>
      <color rgb="FFEECF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60383</xdr:colOff>
      <xdr:row>58</xdr:row>
      <xdr:rowOff>31173</xdr:rowOff>
    </xdr:from>
    <xdr:to>
      <xdr:col>6</xdr:col>
      <xdr:colOff>634070</xdr:colOff>
      <xdr:row>100</xdr:row>
      <xdr:rowOff>147736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EE916C-E5FF-2CD3-70C1-16083A842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110" y="9573491"/>
          <a:ext cx="17458915" cy="7424836"/>
        </a:xfrm>
        <a:prstGeom prst="rect">
          <a:avLst/>
        </a:prstGeom>
        <a:ln w="12700">
          <a:solidFill>
            <a:schemeClr val="tx1">
              <a:lumMod val="65000"/>
              <a:lumOff val="35000"/>
            </a:schemeClr>
          </a:solidFill>
        </a:ln>
      </xdr:spPr>
    </xdr:pic>
    <xdr:clientData/>
  </xdr:twoCellAnchor>
  <xdr:twoCellAnchor editAs="oneCell">
    <xdr:from>
      <xdr:col>7</xdr:col>
      <xdr:colOff>1448662</xdr:colOff>
      <xdr:row>57</xdr:row>
      <xdr:rowOff>100012</xdr:rowOff>
    </xdr:from>
    <xdr:to>
      <xdr:col>12</xdr:col>
      <xdr:colOff>84152</xdr:colOff>
      <xdr:row>100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1A4F17-15B6-45BD-D1EF-426BD6A54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65462" y="9320212"/>
          <a:ext cx="14713690" cy="8205788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1138236</xdr:colOff>
      <xdr:row>57</xdr:row>
      <xdr:rowOff>76200</xdr:rowOff>
    </xdr:from>
    <xdr:to>
      <xdr:col>17</xdr:col>
      <xdr:colOff>2231797</xdr:colOff>
      <xdr:row>100</xdr:row>
      <xdr:rowOff>38101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9F450A-C0CA-C24E-13A6-E38F0123A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924036" y="9296400"/>
          <a:ext cx="14542861" cy="815340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1CAB-CDA8-4D07-9FBD-5E2144AEEF50}">
  <dimension ref="A3:T132"/>
  <sheetViews>
    <sheetView tabSelected="1" topLeftCell="M58" zoomScale="55" zoomScaleNormal="55" workbookViewId="0">
      <selection activeCell="P116" sqref="P116"/>
    </sheetView>
  </sheetViews>
  <sheetFormatPr defaultRowHeight="14.25"/>
  <cols>
    <col min="1" max="1" width="14.125" style="8" customWidth="1"/>
    <col min="2" max="2" width="38.25" style="8" bestFit="1" customWidth="1"/>
    <col min="3" max="3" width="49.5" style="8" bestFit="1" customWidth="1"/>
    <col min="4" max="4" width="45.75" style="8" bestFit="1" customWidth="1"/>
    <col min="5" max="5" width="50.125" style="8" bestFit="1" customWidth="1"/>
    <col min="6" max="6" width="37.875" style="8" bestFit="1" customWidth="1"/>
    <col min="7" max="7" width="27.875" style="8" bestFit="1" customWidth="1"/>
    <col min="8" max="8" width="34" style="8" bestFit="1" customWidth="1"/>
    <col min="9" max="9" width="59.875" style="8" bestFit="1" customWidth="1"/>
    <col min="10" max="10" width="26" style="8" bestFit="1" customWidth="1"/>
    <col min="11" max="11" width="35.125" style="8" bestFit="1" customWidth="1"/>
    <col min="12" max="12" width="56" style="8" bestFit="1" customWidth="1"/>
    <col min="13" max="13" width="34" style="8" bestFit="1" customWidth="1"/>
    <col min="14" max="14" width="36" style="8" bestFit="1" customWidth="1"/>
    <col min="15" max="15" width="62.625" style="8" bestFit="1" customWidth="1"/>
    <col min="16" max="16" width="25.625" style="8" bestFit="1" customWidth="1"/>
    <col min="17" max="17" width="52.375" style="8" bestFit="1" customWidth="1"/>
    <col min="18" max="18" width="30.125" style="8" bestFit="1" customWidth="1"/>
    <col min="19" max="19" width="13.5" style="8" bestFit="1" customWidth="1"/>
    <col min="20" max="20" width="2" style="8" bestFit="1" customWidth="1"/>
    <col min="21" max="21" width="25.625" style="8" bestFit="1" customWidth="1"/>
    <col min="22" max="22" width="13" style="8" bestFit="1" customWidth="1"/>
    <col min="23" max="46" width="9" style="8"/>
    <col min="47" max="47" width="25.375" style="8" customWidth="1"/>
    <col min="48" max="48" width="21.5" style="8" customWidth="1"/>
    <col min="49" max="16384" width="9" style="8"/>
  </cols>
  <sheetData>
    <row r="3" spans="2:16" ht="22.5">
      <c r="B3" s="96" t="s">
        <v>143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8"/>
    </row>
    <row r="4" spans="2:16" ht="15">
      <c r="B4" s="99" t="s">
        <v>57</v>
      </c>
      <c r="C4" s="100"/>
      <c r="D4" s="100"/>
      <c r="E4" s="100"/>
      <c r="F4" s="100"/>
      <c r="G4" s="100"/>
      <c r="I4" s="90" t="s">
        <v>113</v>
      </c>
      <c r="J4" s="91"/>
      <c r="L4" s="92" t="s">
        <v>82</v>
      </c>
      <c r="M4" s="93"/>
      <c r="O4" s="94" t="s">
        <v>126</v>
      </c>
      <c r="P4" s="95"/>
    </row>
    <row r="5" spans="2:16" ht="31.5">
      <c r="B5" s="73" t="s">
        <v>2</v>
      </c>
      <c r="C5" s="73" t="s">
        <v>54</v>
      </c>
      <c r="D5" s="73" t="s">
        <v>55</v>
      </c>
      <c r="E5" s="73" t="s">
        <v>66</v>
      </c>
      <c r="F5" s="73" t="s">
        <v>67</v>
      </c>
      <c r="G5" s="73" t="s">
        <v>148</v>
      </c>
      <c r="I5" s="32"/>
      <c r="J5" s="33" t="s">
        <v>70</v>
      </c>
      <c r="L5" s="59"/>
      <c r="M5" s="60" t="s">
        <v>116</v>
      </c>
      <c r="O5" s="70" t="s">
        <v>127</v>
      </c>
      <c r="P5" s="32">
        <v>40</v>
      </c>
    </row>
    <row r="6" spans="2:16" ht="15.75">
      <c r="B6" s="11">
        <v>1.1000000000000001</v>
      </c>
      <c r="C6" s="11" t="s">
        <v>93</v>
      </c>
      <c r="D6" s="11" t="s">
        <v>38</v>
      </c>
      <c r="E6" s="11">
        <v>1580</v>
      </c>
      <c r="F6" s="3" t="s">
        <v>58</v>
      </c>
      <c r="G6" s="11">
        <v>30000</v>
      </c>
      <c r="I6" s="34" t="s">
        <v>114</v>
      </c>
      <c r="J6" s="32">
        <v>1200000</v>
      </c>
      <c r="L6" s="61" t="s">
        <v>117</v>
      </c>
      <c r="M6" s="59">
        <v>5</v>
      </c>
    </row>
    <row r="7" spans="2:16" ht="15.75">
      <c r="B7" s="11">
        <v>1.2</v>
      </c>
      <c r="C7" s="11" t="s">
        <v>94</v>
      </c>
      <c r="D7" s="11" t="s">
        <v>39</v>
      </c>
      <c r="E7" s="11">
        <v>1580</v>
      </c>
      <c r="F7" s="3" t="s">
        <v>59</v>
      </c>
      <c r="G7" s="11">
        <v>30000</v>
      </c>
      <c r="O7" s="71" t="s">
        <v>130</v>
      </c>
      <c r="P7" s="10">
        <v>20</v>
      </c>
    </row>
    <row r="8" spans="2:16" ht="15.75">
      <c r="B8" s="11">
        <v>1.3</v>
      </c>
      <c r="C8" s="11" t="s">
        <v>95</v>
      </c>
      <c r="D8" s="11" t="s">
        <v>41</v>
      </c>
      <c r="E8" s="11">
        <v>1580</v>
      </c>
      <c r="F8" s="3" t="s">
        <v>60</v>
      </c>
      <c r="G8" s="11">
        <v>30000</v>
      </c>
      <c r="I8" s="35"/>
      <c r="J8" s="36" t="s">
        <v>72</v>
      </c>
      <c r="L8" s="62" t="s">
        <v>119</v>
      </c>
      <c r="M8" s="52">
        <v>30</v>
      </c>
      <c r="O8" s="22"/>
    </row>
    <row r="9" spans="2:16">
      <c r="B9" s="11">
        <v>1.4</v>
      </c>
      <c r="C9" s="11" t="s">
        <v>40</v>
      </c>
      <c r="D9" s="11" t="s">
        <v>42</v>
      </c>
      <c r="E9" s="11">
        <v>1600</v>
      </c>
      <c r="F9" s="3" t="s">
        <v>60</v>
      </c>
      <c r="G9" s="11">
        <v>30000</v>
      </c>
      <c r="I9" s="37" t="s">
        <v>111</v>
      </c>
      <c r="J9" s="35">
        <v>700</v>
      </c>
    </row>
    <row r="10" spans="2:16">
      <c r="B10" s="11">
        <v>2.1</v>
      </c>
      <c r="C10" s="11" t="s">
        <v>43</v>
      </c>
      <c r="D10" s="11" t="s">
        <v>44</v>
      </c>
      <c r="E10" s="11">
        <v>1800</v>
      </c>
      <c r="F10" s="3" t="s">
        <v>61</v>
      </c>
      <c r="G10" s="11">
        <v>30000</v>
      </c>
      <c r="L10" s="59"/>
      <c r="M10" s="59" t="s">
        <v>83</v>
      </c>
    </row>
    <row r="11" spans="2:16" ht="15.75">
      <c r="B11" s="11">
        <v>2.2000000000000002</v>
      </c>
      <c r="C11" s="11" t="s">
        <v>96</v>
      </c>
      <c r="D11" s="11" t="s">
        <v>45</v>
      </c>
      <c r="E11" s="11">
        <v>1800</v>
      </c>
      <c r="F11" s="3" t="s">
        <v>62</v>
      </c>
      <c r="G11" s="11">
        <v>30000</v>
      </c>
      <c r="I11" s="38"/>
      <c r="J11" s="39" t="s">
        <v>71</v>
      </c>
      <c r="L11" s="61" t="s">
        <v>102</v>
      </c>
      <c r="M11" s="59">
        <v>9000</v>
      </c>
    </row>
    <row r="12" spans="2:16" ht="15.75">
      <c r="B12" s="11">
        <v>2.2999999999999998</v>
      </c>
      <c r="C12" s="11" t="s">
        <v>97</v>
      </c>
      <c r="D12" s="11" t="s">
        <v>46</v>
      </c>
      <c r="E12" s="11">
        <v>1800</v>
      </c>
      <c r="F12" s="3" t="s">
        <v>63</v>
      </c>
      <c r="G12" s="11">
        <v>30000</v>
      </c>
      <c r="I12" s="40" t="s">
        <v>112</v>
      </c>
      <c r="J12" s="38">
        <v>20000</v>
      </c>
      <c r="O12" s="49"/>
      <c r="P12" s="52" t="s">
        <v>84</v>
      </c>
    </row>
    <row r="13" spans="2:16" ht="15.75">
      <c r="B13" s="11">
        <v>3.1</v>
      </c>
      <c r="C13" s="11" t="s">
        <v>47</v>
      </c>
      <c r="D13" s="11" t="s">
        <v>48</v>
      </c>
      <c r="E13" s="11"/>
      <c r="F13" s="3" t="s">
        <v>62</v>
      </c>
      <c r="G13" s="11">
        <v>30000</v>
      </c>
      <c r="L13" s="10"/>
      <c r="M13" s="10" t="s">
        <v>84</v>
      </c>
      <c r="O13" s="49" t="s">
        <v>16</v>
      </c>
      <c r="P13" s="52">
        <v>2500</v>
      </c>
    </row>
    <row r="14" spans="2:16" ht="15.75">
      <c r="B14" s="11">
        <v>4</v>
      </c>
      <c r="C14" s="11" t="s">
        <v>49</v>
      </c>
      <c r="D14" s="11" t="s">
        <v>50</v>
      </c>
      <c r="E14" s="11">
        <v>1300</v>
      </c>
      <c r="F14" s="3" t="s">
        <v>64</v>
      </c>
      <c r="G14" s="11">
        <v>30000</v>
      </c>
      <c r="I14" s="41"/>
      <c r="J14" s="42" t="s">
        <v>74</v>
      </c>
      <c r="L14" s="63" t="s">
        <v>16</v>
      </c>
      <c r="M14" s="10">
        <v>2500</v>
      </c>
    </row>
    <row r="15" spans="2:16" ht="15.75">
      <c r="B15" s="11">
        <v>5</v>
      </c>
      <c r="C15" s="11" t="s">
        <v>51</v>
      </c>
      <c r="D15" s="11" t="s">
        <v>34</v>
      </c>
      <c r="E15" s="11">
        <v>1400</v>
      </c>
      <c r="F15" s="3" t="s">
        <v>65</v>
      </c>
      <c r="G15" s="11">
        <v>30000</v>
      </c>
      <c r="I15" s="43" t="s">
        <v>73</v>
      </c>
      <c r="J15" s="44">
        <v>2500</v>
      </c>
      <c r="O15" s="53"/>
      <c r="P15" s="9" t="s">
        <v>132</v>
      </c>
    </row>
    <row r="16" spans="2:16" ht="15.75">
      <c r="B16" s="11">
        <v>6</v>
      </c>
      <c r="C16" s="11" t="s">
        <v>52</v>
      </c>
      <c r="D16" s="11" t="s">
        <v>53</v>
      </c>
      <c r="E16" s="11">
        <v>54</v>
      </c>
      <c r="F16" s="3">
        <v>6</v>
      </c>
      <c r="G16" s="11">
        <v>30000</v>
      </c>
      <c r="L16" s="53"/>
      <c r="M16" s="9" t="s">
        <v>84</v>
      </c>
      <c r="O16" s="53" t="s">
        <v>23</v>
      </c>
      <c r="P16" s="9">
        <v>4000</v>
      </c>
    </row>
    <row r="17" spans="2:16" ht="15.75">
      <c r="G17" s="12"/>
      <c r="I17" s="45"/>
      <c r="J17" s="46" t="s">
        <v>77</v>
      </c>
      <c r="L17" s="64" t="s">
        <v>86</v>
      </c>
      <c r="M17" s="65">
        <v>3000</v>
      </c>
    </row>
    <row r="18" spans="2:16" ht="15.75">
      <c r="G18" s="12"/>
      <c r="I18" s="47" t="s">
        <v>76</v>
      </c>
      <c r="J18" s="48">
        <v>100000</v>
      </c>
      <c r="L18" s="22"/>
      <c r="O18" s="63"/>
      <c r="P18" s="10" t="s">
        <v>74</v>
      </c>
    </row>
    <row r="19" spans="2:16" ht="15.75">
      <c r="B19" s="106" t="s">
        <v>120</v>
      </c>
      <c r="C19" s="106"/>
      <c r="D19" s="106"/>
      <c r="E19" s="106"/>
      <c r="F19" s="106"/>
      <c r="G19" s="106"/>
      <c r="L19" s="66"/>
      <c r="M19" s="59" t="s">
        <v>88</v>
      </c>
      <c r="O19" s="63" t="s">
        <v>24</v>
      </c>
      <c r="P19" s="10">
        <v>2500</v>
      </c>
    </row>
    <row r="20" spans="2:16" ht="15.75">
      <c r="B20" s="30" t="s">
        <v>146</v>
      </c>
      <c r="C20" s="31" t="s">
        <v>103</v>
      </c>
      <c r="D20" s="31" t="s">
        <v>104</v>
      </c>
      <c r="E20" s="31" t="s">
        <v>105</v>
      </c>
      <c r="F20" s="31" t="s">
        <v>106</v>
      </c>
      <c r="G20" s="31" t="s">
        <v>107</v>
      </c>
      <c r="I20" s="49"/>
      <c r="J20" s="50" t="s">
        <v>74</v>
      </c>
      <c r="L20" s="61" t="s">
        <v>87</v>
      </c>
      <c r="M20" s="67">
        <v>50000</v>
      </c>
    </row>
    <row r="21" spans="2:16" ht="15.75">
      <c r="B21" s="3" t="s">
        <v>108</v>
      </c>
      <c r="C21" s="27">
        <v>80</v>
      </c>
      <c r="D21" s="27">
        <v>80</v>
      </c>
      <c r="E21" s="27">
        <v>80</v>
      </c>
      <c r="F21" s="27">
        <v>8</v>
      </c>
      <c r="G21" s="27">
        <v>8</v>
      </c>
      <c r="I21" s="51" t="s">
        <v>78</v>
      </c>
      <c r="J21" s="52">
        <v>2500</v>
      </c>
      <c r="L21" s="64" t="s">
        <v>122</v>
      </c>
      <c r="M21" s="9">
        <v>1</v>
      </c>
      <c r="O21" s="66"/>
      <c r="P21" s="59" t="s">
        <v>134</v>
      </c>
    </row>
    <row r="22" spans="2:16" ht="15.75">
      <c r="B22" s="28" t="s">
        <v>109</v>
      </c>
      <c r="C22" s="27">
        <v>100</v>
      </c>
      <c r="D22" s="27">
        <v>100</v>
      </c>
      <c r="E22" s="27">
        <v>100</v>
      </c>
      <c r="F22" s="27">
        <v>10</v>
      </c>
      <c r="G22" s="27">
        <v>10</v>
      </c>
      <c r="I22" s="23"/>
      <c r="J22" s="17"/>
      <c r="O22" s="61" t="s">
        <v>25</v>
      </c>
      <c r="P22" s="72">
        <v>4000</v>
      </c>
    </row>
    <row r="23" spans="2:16" ht="15.75">
      <c r="B23" s="29" t="s">
        <v>110</v>
      </c>
      <c r="C23" s="27">
        <v>120</v>
      </c>
      <c r="D23" s="27">
        <v>120</v>
      </c>
      <c r="E23" s="27">
        <v>120</v>
      </c>
      <c r="F23" s="27">
        <v>12</v>
      </c>
      <c r="G23" s="27">
        <v>12</v>
      </c>
      <c r="I23" s="53"/>
      <c r="J23" s="54" t="s">
        <v>74</v>
      </c>
      <c r="L23" s="41"/>
      <c r="M23" s="44" t="s">
        <v>124</v>
      </c>
    </row>
    <row r="24" spans="2:16" ht="15.75">
      <c r="C24" s="21"/>
      <c r="D24" s="21"/>
      <c r="E24" s="21"/>
      <c r="F24" s="21"/>
      <c r="I24" s="55" t="s">
        <v>81</v>
      </c>
      <c r="J24" s="9">
        <v>2500</v>
      </c>
      <c r="L24" s="68" t="s">
        <v>19</v>
      </c>
      <c r="M24" s="44">
        <v>2000</v>
      </c>
    </row>
    <row r="25" spans="2:16" ht="15.75">
      <c r="B25" s="107" t="s">
        <v>82</v>
      </c>
      <c r="C25" s="108"/>
      <c r="D25" s="109"/>
      <c r="E25" s="21"/>
      <c r="F25" s="21"/>
      <c r="G25" s="21"/>
      <c r="I25" s="23"/>
      <c r="J25" s="17"/>
    </row>
    <row r="26" spans="2:16" ht="15.75">
      <c r="B26" s="85" t="s">
        <v>146</v>
      </c>
      <c r="C26" s="86" t="s">
        <v>121</v>
      </c>
      <c r="D26" s="86" t="s">
        <v>123</v>
      </c>
      <c r="I26" s="56"/>
      <c r="J26" s="57" t="s">
        <v>115</v>
      </c>
      <c r="L26" s="56"/>
      <c r="M26" s="57" t="s">
        <v>83</v>
      </c>
    </row>
    <row r="27" spans="2:16" ht="15.75">
      <c r="B27" s="3" t="s">
        <v>108</v>
      </c>
      <c r="C27" s="27">
        <v>24</v>
      </c>
      <c r="D27" s="27">
        <v>8</v>
      </c>
      <c r="I27" s="56" t="s">
        <v>10</v>
      </c>
      <c r="J27" s="57">
        <v>2500</v>
      </c>
      <c r="L27" s="69" t="s">
        <v>89</v>
      </c>
      <c r="M27" s="57">
        <v>32000</v>
      </c>
    </row>
    <row r="28" spans="2:16">
      <c r="B28" s="28" t="s">
        <v>109</v>
      </c>
      <c r="C28" s="27">
        <v>24</v>
      </c>
      <c r="D28" s="27">
        <v>10</v>
      </c>
    </row>
    <row r="29" spans="2:16" ht="15.75">
      <c r="B29" s="29" t="s">
        <v>110</v>
      </c>
      <c r="C29" s="27">
        <v>24</v>
      </c>
      <c r="D29" s="27">
        <v>12</v>
      </c>
      <c r="I29" s="34"/>
      <c r="J29" s="32" t="s">
        <v>74</v>
      </c>
      <c r="L29" s="53"/>
      <c r="M29" s="9" t="s">
        <v>83</v>
      </c>
    </row>
    <row r="30" spans="2:16" ht="15.75">
      <c r="C30" s="21"/>
      <c r="D30" s="21"/>
      <c r="E30" s="21"/>
      <c r="F30" s="21"/>
      <c r="I30" s="34" t="s">
        <v>11</v>
      </c>
      <c r="J30" s="32">
        <v>1500</v>
      </c>
      <c r="L30" s="64" t="s">
        <v>90</v>
      </c>
      <c r="M30" s="9">
        <v>16500</v>
      </c>
    </row>
    <row r="31" spans="2:16">
      <c r="B31" s="31" t="s">
        <v>156</v>
      </c>
      <c r="C31" s="31" t="s">
        <v>125</v>
      </c>
    </row>
    <row r="32" spans="2:16">
      <c r="B32" s="27" t="s">
        <v>150</v>
      </c>
      <c r="C32" s="27">
        <v>180</v>
      </c>
    </row>
    <row r="33" spans="2:12">
      <c r="B33" s="27" t="s">
        <v>151</v>
      </c>
      <c r="C33" s="27">
        <v>200</v>
      </c>
      <c r="J33" s="12"/>
      <c r="K33" s="12"/>
      <c r="L33" s="12"/>
    </row>
    <row r="34" spans="2:12">
      <c r="B34" s="27" t="s">
        <v>152</v>
      </c>
      <c r="C34" s="27">
        <v>220</v>
      </c>
      <c r="J34" s="21"/>
      <c r="K34" s="21"/>
      <c r="L34" s="21"/>
    </row>
    <row r="36" spans="2:12">
      <c r="B36" s="87"/>
      <c r="C36" s="21"/>
      <c r="D36" s="21"/>
      <c r="E36" s="21"/>
      <c r="G36" s="21"/>
      <c r="H36" s="21"/>
    </row>
    <row r="37" spans="2:12">
      <c r="B37" s="87"/>
      <c r="C37" s="21"/>
      <c r="D37" s="21"/>
      <c r="E37" s="21"/>
      <c r="G37" s="21"/>
      <c r="H37" s="21"/>
    </row>
    <row r="38" spans="2:12" ht="15">
      <c r="B38" s="99" t="s">
        <v>126</v>
      </c>
      <c r="C38" s="100"/>
      <c r="D38" s="100"/>
      <c r="E38" s="110"/>
      <c r="G38" s="21"/>
      <c r="H38" s="21"/>
    </row>
    <row r="39" spans="2:12">
      <c r="B39" s="58" t="s">
        <v>146</v>
      </c>
      <c r="C39" s="31" t="s">
        <v>121</v>
      </c>
      <c r="D39" s="31" t="s">
        <v>123</v>
      </c>
      <c r="E39" s="31" t="s">
        <v>133</v>
      </c>
      <c r="G39" s="21"/>
      <c r="H39" s="21"/>
    </row>
    <row r="40" spans="2:12">
      <c r="B40" s="3" t="s">
        <v>108</v>
      </c>
      <c r="C40" s="27">
        <v>24</v>
      </c>
      <c r="D40" s="27">
        <v>8</v>
      </c>
      <c r="E40" s="27">
        <v>8</v>
      </c>
      <c r="G40" s="21"/>
      <c r="H40" s="21"/>
    </row>
    <row r="41" spans="2:12">
      <c r="B41" s="28" t="s">
        <v>109</v>
      </c>
      <c r="C41" s="27">
        <v>24</v>
      </c>
      <c r="D41" s="27">
        <v>10</v>
      </c>
      <c r="E41" s="27">
        <v>10</v>
      </c>
      <c r="G41" s="21"/>
      <c r="H41" s="21"/>
    </row>
    <row r="42" spans="2:12">
      <c r="B42" s="29" t="s">
        <v>110</v>
      </c>
      <c r="C42" s="27">
        <v>24</v>
      </c>
      <c r="D42" s="27">
        <v>12</v>
      </c>
      <c r="E42" s="27">
        <v>12</v>
      </c>
      <c r="G42" s="21"/>
      <c r="H42" s="21"/>
    </row>
    <row r="43" spans="2:12">
      <c r="B43" s="87"/>
      <c r="C43" s="21"/>
      <c r="D43" s="21"/>
      <c r="E43" s="21"/>
      <c r="G43" s="21"/>
      <c r="H43" s="21"/>
    </row>
    <row r="44" spans="2:12">
      <c r="B44" s="31" t="s">
        <v>155</v>
      </c>
      <c r="C44" s="31" t="s">
        <v>125</v>
      </c>
      <c r="D44" s="21"/>
      <c r="E44" s="21"/>
      <c r="G44" s="21"/>
      <c r="H44" s="21"/>
    </row>
    <row r="45" spans="2:12">
      <c r="B45" s="27" t="s">
        <v>157</v>
      </c>
      <c r="C45" s="27">
        <v>180</v>
      </c>
      <c r="D45" s="21"/>
      <c r="E45" s="21"/>
      <c r="G45" s="21"/>
      <c r="H45" s="21"/>
    </row>
    <row r="46" spans="2:12">
      <c r="B46" s="27" t="s">
        <v>158</v>
      </c>
      <c r="C46" s="27">
        <v>200</v>
      </c>
    </row>
    <row r="47" spans="2:12">
      <c r="B47" s="27" t="s">
        <v>159</v>
      </c>
      <c r="C47" s="27">
        <v>220</v>
      </c>
    </row>
    <row r="48" spans="2:12">
      <c r="B48" s="88"/>
      <c r="C48" s="89"/>
    </row>
    <row r="49" spans="2:10" ht="22.5">
      <c r="B49" s="96" t="s">
        <v>145</v>
      </c>
      <c r="C49" s="97"/>
      <c r="D49" s="98"/>
      <c r="H49" s="96" t="s">
        <v>144</v>
      </c>
      <c r="I49" s="97"/>
      <c r="J49" s="98"/>
    </row>
    <row r="50" spans="2:10" ht="15">
      <c r="B50" s="82">
        <v>1</v>
      </c>
      <c r="C50" s="83" t="s">
        <v>36</v>
      </c>
      <c r="H50" s="82">
        <v>1</v>
      </c>
      <c r="I50" s="84" t="s">
        <v>91</v>
      </c>
    </row>
    <row r="51" spans="2:10" ht="15">
      <c r="B51" s="3">
        <v>2</v>
      </c>
      <c r="C51" s="24" t="s">
        <v>56</v>
      </c>
      <c r="D51" s="24" t="s">
        <v>39</v>
      </c>
      <c r="H51" s="3">
        <v>2</v>
      </c>
      <c r="I51" s="26" t="s">
        <v>92</v>
      </c>
    </row>
    <row r="52" spans="2:10" ht="15">
      <c r="B52" s="3"/>
      <c r="C52" s="24"/>
      <c r="H52" s="3"/>
      <c r="I52" s="25"/>
    </row>
    <row r="53" spans="2:10" ht="15">
      <c r="B53" s="3"/>
      <c r="C53" s="24"/>
      <c r="H53" s="3">
        <v>3</v>
      </c>
      <c r="I53" s="25" t="s">
        <v>98</v>
      </c>
    </row>
    <row r="54" spans="2:10" ht="15">
      <c r="B54" s="3"/>
      <c r="C54" s="24"/>
    </row>
    <row r="55" spans="2:10" ht="15">
      <c r="B55" s="3"/>
      <c r="C55" s="24"/>
    </row>
    <row r="56" spans="2:10">
      <c r="C56" s="13"/>
    </row>
    <row r="57" spans="2:10">
      <c r="C57" s="13"/>
    </row>
    <row r="58" spans="2:10">
      <c r="C58" s="13"/>
    </row>
    <row r="59" spans="2:10">
      <c r="C59" s="13"/>
    </row>
    <row r="89" spans="3:9">
      <c r="I89" s="13"/>
    </row>
    <row r="90" spans="3:9">
      <c r="I90" s="13"/>
    </row>
    <row r="91" spans="3:9" ht="15">
      <c r="C91" s="14"/>
      <c r="I91" s="13"/>
    </row>
    <row r="92" spans="3:9">
      <c r="C92" s="13"/>
      <c r="I92" s="13"/>
    </row>
    <row r="93" spans="3:9">
      <c r="I93" s="13"/>
    </row>
    <row r="94" spans="3:9">
      <c r="I94" s="13"/>
    </row>
    <row r="95" spans="3:9">
      <c r="I95" s="13"/>
    </row>
    <row r="96" spans="3:9">
      <c r="I96" s="13"/>
    </row>
    <row r="97" spans="1:18">
      <c r="I97" s="13"/>
    </row>
    <row r="98" spans="1:18">
      <c r="C98" s="13"/>
      <c r="I98" s="13"/>
    </row>
    <row r="99" spans="1:18">
      <c r="C99" s="13"/>
      <c r="I99" s="13"/>
    </row>
    <row r="100" spans="1:18" ht="15">
      <c r="C100" s="13"/>
      <c r="D100" s="18"/>
      <c r="I100" s="13"/>
    </row>
    <row r="101" spans="1:18">
      <c r="C101" s="13"/>
      <c r="I101" s="13"/>
    </row>
    <row r="102" spans="1:18">
      <c r="A102" s="19"/>
      <c r="C102" s="13"/>
    </row>
    <row r="104" spans="1:18" ht="26.25">
      <c r="B104" s="111" t="s">
        <v>37</v>
      </c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</row>
    <row r="105" spans="1:18" ht="31.5">
      <c r="B105" s="78" t="s">
        <v>2</v>
      </c>
      <c r="C105" s="78" t="s">
        <v>118</v>
      </c>
      <c r="D105" s="78" t="s">
        <v>3</v>
      </c>
      <c r="E105" s="78" t="s">
        <v>68</v>
      </c>
      <c r="F105" s="78" t="s">
        <v>140</v>
      </c>
      <c r="G105" s="78" t="s">
        <v>139</v>
      </c>
      <c r="H105" s="78" t="s">
        <v>4</v>
      </c>
      <c r="I105" s="78" t="s">
        <v>5</v>
      </c>
      <c r="J105" s="78" t="s">
        <v>6</v>
      </c>
      <c r="K105" s="78" t="s">
        <v>7</v>
      </c>
      <c r="L105" s="78" t="s">
        <v>141</v>
      </c>
      <c r="M105" s="78" t="s">
        <v>153</v>
      </c>
      <c r="N105" s="78" t="s">
        <v>142</v>
      </c>
      <c r="O105" s="78" t="s">
        <v>8</v>
      </c>
      <c r="P105" s="78" t="s">
        <v>69</v>
      </c>
      <c r="Q105" s="78" t="s">
        <v>136</v>
      </c>
      <c r="R105" s="78" t="s">
        <v>9</v>
      </c>
    </row>
    <row r="106" spans="1:18">
      <c r="B106" s="3"/>
      <c r="C106" s="3"/>
      <c r="D106" s="1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5">
      <c r="B107" s="4">
        <v>1</v>
      </c>
      <c r="C107" s="4" t="s">
        <v>99</v>
      </c>
      <c r="D107" s="3" t="s">
        <v>34</v>
      </c>
      <c r="E107" s="4">
        <v>3</v>
      </c>
      <c r="F107" s="4">
        <v>1001</v>
      </c>
      <c r="G107" s="4">
        <v>1384</v>
      </c>
      <c r="H107" s="6">
        <v>437</v>
      </c>
      <c r="I107" s="6">
        <f>F107+100</f>
        <v>1101</v>
      </c>
      <c r="J107" s="6">
        <f>G107+100</f>
        <v>1484</v>
      </c>
      <c r="K107" s="4">
        <f>E107/F$15</f>
        <v>12</v>
      </c>
      <c r="L107" s="4">
        <v>1.71</v>
      </c>
      <c r="M107" s="6">
        <f>K107*L107</f>
        <v>20.52</v>
      </c>
      <c r="N107" s="7">
        <f>(E107*L107)/1000</f>
        <v>5.13E-3</v>
      </c>
      <c r="O107" s="4">
        <v>1400</v>
      </c>
      <c r="P107" s="4">
        <f>O107*N107</f>
        <v>7.1820000000000004</v>
      </c>
      <c r="Q107" s="74">
        <f>(H107*I107*J107)/1000000000</f>
        <v>0.71400730800000001</v>
      </c>
      <c r="R107" s="15">
        <f>Q107*J$9</f>
        <v>499.80511560000002</v>
      </c>
    </row>
    <row r="108" spans="1:18" ht="15">
      <c r="B108" s="4">
        <v>2</v>
      </c>
      <c r="C108" s="4" t="s">
        <v>100</v>
      </c>
      <c r="D108" s="3" t="s">
        <v>34</v>
      </c>
      <c r="E108" s="4">
        <v>3</v>
      </c>
      <c r="F108" s="4">
        <v>1113</v>
      </c>
      <c r="G108" s="4">
        <v>1244</v>
      </c>
      <c r="H108" s="4">
        <v>985</v>
      </c>
      <c r="I108" s="4">
        <v>1213</v>
      </c>
      <c r="J108" s="4">
        <v>1344</v>
      </c>
      <c r="K108" s="4">
        <f>E108/F$15</f>
        <v>12</v>
      </c>
      <c r="L108" s="4">
        <v>3.08</v>
      </c>
      <c r="M108" s="4">
        <f t="shared" ref="M108:M109" si="0">K108*L108</f>
        <v>36.96</v>
      </c>
      <c r="N108" s="5">
        <f>(E108*L108)/1000</f>
        <v>9.2399999999999999E-3</v>
      </c>
      <c r="O108" s="4">
        <v>1400</v>
      </c>
      <c r="P108" s="4">
        <f t="shared" ref="P108:P109" si="1">O108*N108</f>
        <v>12.936</v>
      </c>
      <c r="Q108" s="75">
        <f>(H108*I108*J108)/1000000000</f>
        <v>1.60581792</v>
      </c>
      <c r="R108" s="15">
        <f>Q108*J$9</f>
        <v>1124.0725440000001</v>
      </c>
    </row>
    <row r="109" spans="1:18" ht="15">
      <c r="B109" s="4">
        <v>3</v>
      </c>
      <c r="C109" s="4" t="s">
        <v>101</v>
      </c>
      <c r="D109" s="3" t="s">
        <v>34</v>
      </c>
      <c r="E109" s="4">
        <v>3.8</v>
      </c>
      <c r="F109" s="4">
        <v>1110</v>
      </c>
      <c r="G109" s="4">
        <v>1413</v>
      </c>
      <c r="H109" s="4">
        <v>280</v>
      </c>
      <c r="I109" s="4">
        <v>1500</v>
      </c>
      <c r="J109" s="4">
        <v>2050</v>
      </c>
      <c r="K109" s="4">
        <f>E109/F$15</f>
        <v>15.2</v>
      </c>
      <c r="L109" s="4">
        <v>1.8</v>
      </c>
      <c r="M109" s="4">
        <f t="shared" si="0"/>
        <v>27.36</v>
      </c>
      <c r="N109" s="5">
        <f t="shared" ref="N109" si="2">(E109*L109)/1000</f>
        <v>6.8399999999999997E-3</v>
      </c>
      <c r="O109" s="4">
        <v>1400</v>
      </c>
      <c r="P109" s="4">
        <f t="shared" si="1"/>
        <v>9.5759999999999987</v>
      </c>
      <c r="Q109" s="75">
        <f>(H109*I109*J109)/1000000000</f>
        <v>0.86099999999999999</v>
      </c>
      <c r="R109" s="15">
        <f>Q109*J$9</f>
        <v>602.70000000000005</v>
      </c>
    </row>
    <row r="112" spans="1:18" ht="26.25">
      <c r="B112" s="104" t="s">
        <v>0</v>
      </c>
      <c r="C112" s="105"/>
      <c r="D112" s="105"/>
      <c r="E112" s="105"/>
      <c r="F112" s="105"/>
      <c r="G112" s="105"/>
      <c r="H112" s="105"/>
      <c r="I112" s="105"/>
      <c r="J112" s="105"/>
      <c r="K112" s="105"/>
      <c r="L112" s="115"/>
    </row>
    <row r="113" spans="2:20" ht="15.75">
      <c r="B113" s="78" t="s">
        <v>75</v>
      </c>
      <c r="C113" s="78" t="s">
        <v>73</v>
      </c>
      <c r="D113" s="78" t="s">
        <v>76</v>
      </c>
      <c r="E113" s="78" t="s">
        <v>135</v>
      </c>
      <c r="F113" s="78" t="s">
        <v>80</v>
      </c>
      <c r="G113" s="78" t="s">
        <v>137</v>
      </c>
      <c r="H113" s="78" t="s">
        <v>79</v>
      </c>
      <c r="I113" s="78" t="s">
        <v>138</v>
      </c>
      <c r="J113" s="78" t="s">
        <v>10</v>
      </c>
      <c r="K113" s="78" t="s">
        <v>11</v>
      </c>
      <c r="L113" s="78" t="s">
        <v>12</v>
      </c>
    </row>
    <row r="114" spans="2:20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2:20" ht="15">
      <c r="B115" s="4">
        <f>C21</f>
        <v>80</v>
      </c>
      <c r="C115" s="6">
        <f>B115*J$15</f>
        <v>200000</v>
      </c>
      <c r="D115" s="74">
        <f>Q107*J$18</f>
        <v>71400.730800000005</v>
      </c>
      <c r="E115" s="74">
        <f>(Q107*J$6)+J$12</f>
        <v>876808.7696</v>
      </c>
      <c r="F115" s="4">
        <f>D21</f>
        <v>80</v>
      </c>
      <c r="G115" s="6">
        <f>F115*J$21</f>
        <v>200000</v>
      </c>
      <c r="H115" s="4">
        <f>E21</f>
        <v>80</v>
      </c>
      <c r="I115" s="6">
        <f>H115*J$24</f>
        <v>200000</v>
      </c>
      <c r="J115" s="4">
        <f>F21*J$27</f>
        <v>20000</v>
      </c>
      <c r="K115" s="6">
        <f>G21*J$30</f>
        <v>12000</v>
      </c>
      <c r="L115" s="74">
        <f>C115+D115+E115+G115+I115+J115+K115</f>
        <v>1580209.5004</v>
      </c>
    </row>
    <row r="116" spans="2:20" ht="15">
      <c r="B116" s="4">
        <f>C21</f>
        <v>80</v>
      </c>
      <c r="C116" s="6">
        <f>B116*J$15</f>
        <v>200000</v>
      </c>
      <c r="D116" s="74">
        <f>Q108*J$18</f>
        <v>160581.79199999999</v>
      </c>
      <c r="E116" s="74">
        <f>(Q108*J$6)+J$12</f>
        <v>1946981.504</v>
      </c>
      <c r="F116" s="4">
        <f>D21</f>
        <v>80</v>
      </c>
      <c r="G116" s="6">
        <f>F116*J$21</f>
        <v>200000</v>
      </c>
      <c r="H116" s="4">
        <f>E21</f>
        <v>80</v>
      </c>
      <c r="I116" s="6">
        <f>H116*J$24</f>
        <v>200000</v>
      </c>
      <c r="J116" s="4">
        <f>F21*J$27</f>
        <v>20000</v>
      </c>
      <c r="K116" s="6">
        <f>G21*J$30</f>
        <v>12000</v>
      </c>
      <c r="L116" s="75">
        <f>C116+D116+E116+G116+I116+J116+K116</f>
        <v>2739563.2960000001</v>
      </c>
    </row>
    <row r="117" spans="2:20" ht="15">
      <c r="B117" s="4">
        <f>C21</f>
        <v>80</v>
      </c>
      <c r="C117" s="6">
        <f>B117*J$15</f>
        <v>200000</v>
      </c>
      <c r="D117" s="74">
        <f>Q109*J$18</f>
        <v>86100</v>
      </c>
      <c r="E117" s="74">
        <f>(Q109*J$6)+J$12</f>
        <v>1053200</v>
      </c>
      <c r="F117" s="4">
        <f>D21</f>
        <v>80</v>
      </c>
      <c r="G117" s="6">
        <f>F117*J$21</f>
        <v>200000</v>
      </c>
      <c r="H117" s="4">
        <f>E21</f>
        <v>80</v>
      </c>
      <c r="I117" s="6">
        <f>H117*J$24</f>
        <v>200000</v>
      </c>
      <c r="J117" s="4">
        <f>F21*J$27</f>
        <v>20000</v>
      </c>
      <c r="K117" s="6">
        <f>G21*J$30</f>
        <v>12000</v>
      </c>
      <c r="L117" s="4">
        <f>C117+D117+E117+G117+I117+J117+K117</f>
        <v>1771300</v>
      </c>
    </row>
    <row r="119" spans="2:20" ht="26.25">
      <c r="B119" s="104" t="s">
        <v>1</v>
      </c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77"/>
    </row>
    <row r="120" spans="2:20" ht="31.5">
      <c r="B120" s="79" t="s">
        <v>13</v>
      </c>
      <c r="C120" s="79" t="s">
        <v>14</v>
      </c>
      <c r="D120" s="79" t="s">
        <v>15</v>
      </c>
      <c r="E120" s="79" t="s">
        <v>154</v>
      </c>
      <c r="F120" s="79" t="s">
        <v>147</v>
      </c>
      <c r="G120" s="112" t="s">
        <v>16</v>
      </c>
      <c r="H120" s="113"/>
      <c r="I120" s="112" t="s">
        <v>17</v>
      </c>
      <c r="J120" s="113"/>
      <c r="K120" s="112" t="s">
        <v>18</v>
      </c>
      <c r="L120" s="113"/>
      <c r="M120" s="79" t="s">
        <v>19</v>
      </c>
      <c r="N120" s="114" t="s">
        <v>20</v>
      </c>
      <c r="O120" s="113"/>
      <c r="P120" s="79" t="s">
        <v>21</v>
      </c>
      <c r="T120" s="8" t="s">
        <v>35</v>
      </c>
    </row>
    <row r="121" spans="2:20" ht="15.75">
      <c r="B121" s="1"/>
      <c r="C121" s="1"/>
      <c r="D121" s="1"/>
      <c r="E121" s="1"/>
      <c r="F121" s="1"/>
      <c r="G121" s="80" t="s">
        <v>128</v>
      </c>
      <c r="H121" s="80" t="s">
        <v>149</v>
      </c>
      <c r="I121" s="80" t="s">
        <v>85</v>
      </c>
      <c r="J121" s="81" t="s">
        <v>32</v>
      </c>
      <c r="K121" s="80" t="s">
        <v>33</v>
      </c>
      <c r="L121" s="81" t="s">
        <v>32</v>
      </c>
      <c r="M121" s="3"/>
      <c r="N121" s="80" t="s">
        <v>89</v>
      </c>
      <c r="O121" s="80" t="s">
        <v>90</v>
      </c>
      <c r="P121" s="2"/>
      <c r="Q121" s="20"/>
    </row>
    <row r="122" spans="2:20" s="17" customFormat="1" ht="15">
      <c r="B122" s="6">
        <f>L107</f>
        <v>1.71</v>
      </c>
      <c r="C122" s="6">
        <f>E107+M$6</f>
        <v>8</v>
      </c>
      <c r="D122" s="6">
        <f>(C122/F$15)*B122</f>
        <v>54.72</v>
      </c>
      <c r="E122" s="6">
        <f>D122*(100+M$8)/100</f>
        <v>71.135999999999996</v>
      </c>
      <c r="F122" s="6">
        <f>E122*M$11</f>
        <v>640224</v>
      </c>
      <c r="G122" s="6">
        <f>C$33</f>
        <v>200</v>
      </c>
      <c r="H122" s="6">
        <f>G122*M$14</f>
        <v>500000</v>
      </c>
      <c r="I122" s="6">
        <f>C27</f>
        <v>24</v>
      </c>
      <c r="J122" s="6">
        <f>I122*M$17</f>
        <v>72000</v>
      </c>
      <c r="K122" s="6">
        <f>M$21</f>
        <v>1</v>
      </c>
      <c r="L122" s="6">
        <f>K122*M$20</f>
        <v>50000</v>
      </c>
      <c r="M122" s="6">
        <f>D27*M$24</f>
        <v>16000</v>
      </c>
      <c r="N122" s="6">
        <f>D122*M$27</f>
        <v>1751040</v>
      </c>
      <c r="O122" s="6">
        <f>D122*M$30</f>
        <v>902880</v>
      </c>
      <c r="P122" s="6">
        <f>F122+H122+J122+L122+M122+N122+O122</f>
        <v>3932144</v>
      </c>
      <c r="S122" s="8"/>
    </row>
    <row r="123" spans="2:20" ht="15">
      <c r="B123" s="16">
        <f>L108</f>
        <v>3.08</v>
      </c>
      <c r="C123" s="6">
        <f>E108+M$6</f>
        <v>8</v>
      </c>
      <c r="D123" s="6">
        <f>(C123/F$15)*B123</f>
        <v>98.56</v>
      </c>
      <c r="E123" s="6">
        <f>D123*(100+M$8)/100</f>
        <v>128.12800000000001</v>
      </c>
      <c r="F123" s="6">
        <f>E123*M$11</f>
        <v>1153152.0000000002</v>
      </c>
      <c r="G123" s="6">
        <f>C$33</f>
        <v>200</v>
      </c>
      <c r="H123" s="6">
        <f>G123*M$14</f>
        <v>500000</v>
      </c>
      <c r="I123" s="6">
        <f>C28</f>
        <v>24</v>
      </c>
      <c r="J123" s="6">
        <f>I123*M$17</f>
        <v>72000</v>
      </c>
      <c r="K123" s="6">
        <f>M$21</f>
        <v>1</v>
      </c>
      <c r="L123" s="6">
        <f>K123*M$20</f>
        <v>50000</v>
      </c>
      <c r="M123" s="6">
        <f>D27*M$24</f>
        <v>16000</v>
      </c>
      <c r="N123" s="6">
        <f>D123*M$27</f>
        <v>3153920</v>
      </c>
      <c r="O123" s="6">
        <f>D123*M$30</f>
        <v>1626240</v>
      </c>
      <c r="P123" s="16">
        <f>F123+H123+J123+L123+M123+N123+O123</f>
        <v>6571312</v>
      </c>
    </row>
    <row r="124" spans="2:20" ht="15">
      <c r="B124" s="16">
        <f>L109</f>
        <v>1.8</v>
      </c>
      <c r="C124" s="6">
        <f>E109+M$6</f>
        <v>8.8000000000000007</v>
      </c>
      <c r="D124" s="6">
        <f>(C124/F$15)*B124</f>
        <v>63.360000000000007</v>
      </c>
      <c r="E124" s="6">
        <f>D124*(100+M$8)/100</f>
        <v>82.368000000000009</v>
      </c>
      <c r="F124" s="6">
        <f>E124*M$11</f>
        <v>741312.00000000012</v>
      </c>
      <c r="G124" s="6">
        <f>C$33</f>
        <v>200</v>
      </c>
      <c r="H124" s="6">
        <f>G124*M$14</f>
        <v>500000</v>
      </c>
      <c r="I124" s="6">
        <f>C27</f>
        <v>24</v>
      </c>
      <c r="J124" s="6">
        <f>I124*M$17</f>
        <v>72000</v>
      </c>
      <c r="K124" s="6">
        <f>M$21</f>
        <v>1</v>
      </c>
      <c r="L124" s="6">
        <f>K124*M$20</f>
        <v>50000</v>
      </c>
      <c r="M124" s="6">
        <f>D27*M$24</f>
        <v>16000</v>
      </c>
      <c r="N124" s="6">
        <f>D124*M$27</f>
        <v>2027520.0000000002</v>
      </c>
      <c r="O124" s="6">
        <f>D124*M$30</f>
        <v>1045440.0000000001</v>
      </c>
      <c r="P124" s="16">
        <f>F124+H124+J124+L124+M124+N124+O124</f>
        <v>4452272</v>
      </c>
    </row>
    <row r="127" spans="2:20" ht="26.25">
      <c r="B127" s="101" t="s">
        <v>126</v>
      </c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3"/>
      <c r="P127" s="76"/>
    </row>
    <row r="128" spans="2:20" ht="15.75">
      <c r="B128" s="79" t="s">
        <v>22</v>
      </c>
      <c r="C128" s="79" t="s">
        <v>160</v>
      </c>
      <c r="D128" s="79" t="s">
        <v>129</v>
      </c>
      <c r="E128" s="79" t="s">
        <v>161</v>
      </c>
      <c r="F128" s="79" t="s">
        <v>131</v>
      </c>
      <c r="G128" s="79" t="s">
        <v>23</v>
      </c>
      <c r="H128" s="79" t="s">
        <v>24</v>
      </c>
      <c r="I128" s="79" t="s">
        <v>25</v>
      </c>
      <c r="J128" s="79" t="s">
        <v>26</v>
      </c>
      <c r="K128" s="79" t="s">
        <v>27</v>
      </c>
      <c r="L128" s="79" t="s">
        <v>28</v>
      </c>
      <c r="M128" s="79" t="s">
        <v>29</v>
      </c>
      <c r="N128" s="79" t="s">
        <v>30</v>
      </c>
      <c r="O128" s="79" t="s">
        <v>31</v>
      </c>
    </row>
    <row r="129" spans="2:1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2:15" s="17" customFormat="1" ht="15">
      <c r="B130" s="6">
        <f>P107*(100+P$5)/100</f>
        <v>10.0548</v>
      </c>
      <c r="C130" s="6">
        <f>B130*G$15</f>
        <v>301644</v>
      </c>
      <c r="D130" s="6">
        <f>C45</f>
        <v>180</v>
      </c>
      <c r="E130" s="6">
        <f>D130*P$13</f>
        <v>450000</v>
      </c>
      <c r="F130" s="6">
        <f>C130*P$7/100</f>
        <v>60328.800000000003</v>
      </c>
      <c r="G130" s="6">
        <f>C40*P$16</f>
        <v>96000</v>
      </c>
      <c r="H130" s="6">
        <f>D40*P$19</f>
        <v>20000</v>
      </c>
      <c r="I130" s="6">
        <f>E40*P$22</f>
        <v>32000</v>
      </c>
      <c r="J130" s="6">
        <f>C130+E130+F130+G130+H130+I130</f>
        <v>959972.8</v>
      </c>
      <c r="K130" s="6">
        <f>P122+J130</f>
        <v>4892116.8</v>
      </c>
      <c r="L130" s="6">
        <f>K130*0.05</f>
        <v>244605.84</v>
      </c>
      <c r="M130" s="6">
        <f>K130*0.1</f>
        <v>489211.68</v>
      </c>
      <c r="N130" s="6">
        <f>K130*0.18</f>
        <v>880581.02399999998</v>
      </c>
      <c r="O130" s="15">
        <f>K130+L130+M130+N130</f>
        <v>6506515.3439999996</v>
      </c>
    </row>
    <row r="131" spans="2:15" ht="15">
      <c r="B131" s="6">
        <f>P108*(100+P$5)/100</f>
        <v>18.110399999999998</v>
      </c>
      <c r="C131" s="6">
        <f>B131*G$15</f>
        <v>543312</v>
      </c>
      <c r="D131" s="4">
        <f>C46</f>
        <v>200</v>
      </c>
      <c r="E131" s="6">
        <f>D131*P$13</f>
        <v>500000</v>
      </c>
      <c r="F131" s="6">
        <f>C131*P$7/100</f>
        <v>108662.39999999999</v>
      </c>
      <c r="G131" s="6">
        <f>C41*P$16</f>
        <v>96000</v>
      </c>
      <c r="H131" s="6">
        <f>D40*P$19</f>
        <v>20000</v>
      </c>
      <c r="I131" s="6">
        <f>E40*P$22</f>
        <v>32000</v>
      </c>
      <c r="J131" s="16">
        <f>C131+E131+F131+G131+H131+I131</f>
        <v>1299974.3999999999</v>
      </c>
      <c r="K131" s="4">
        <f>P123+J131</f>
        <v>7871286.4000000004</v>
      </c>
      <c r="L131" s="4">
        <f>K131*0.05</f>
        <v>393564.32000000007</v>
      </c>
      <c r="M131" s="4">
        <f>K131*0.1</f>
        <v>787128.64000000013</v>
      </c>
      <c r="N131" s="4">
        <f>K131*0.18</f>
        <v>1416831.5519999999</v>
      </c>
      <c r="O131" s="15">
        <f>K131+L131+M131+N131</f>
        <v>10468810.912</v>
      </c>
    </row>
    <row r="132" spans="2:15" ht="15">
      <c r="B132" s="6">
        <f>P109*(100+P$5)/100</f>
        <v>13.406399999999998</v>
      </c>
      <c r="C132" s="6">
        <f>B132*G$15</f>
        <v>402191.99999999994</v>
      </c>
      <c r="D132" s="4">
        <f>C45</f>
        <v>180</v>
      </c>
      <c r="E132" s="6">
        <f>D132*P$13</f>
        <v>450000</v>
      </c>
      <c r="F132" s="6">
        <f>C132*P$7/100</f>
        <v>80438.399999999994</v>
      </c>
      <c r="G132" s="6">
        <f>C40*P$16</f>
        <v>96000</v>
      </c>
      <c r="H132" s="6">
        <f>D40*P$19</f>
        <v>20000</v>
      </c>
      <c r="I132" s="6">
        <f>E40*P$22</f>
        <v>32000</v>
      </c>
      <c r="J132" s="16">
        <f>C132+E132+F132+G132+H132+I132</f>
        <v>1080630.3999999999</v>
      </c>
      <c r="K132" s="4">
        <f>P124+J132</f>
        <v>5532902.4000000004</v>
      </c>
      <c r="L132" s="4">
        <f>K132*0.05</f>
        <v>276645.12000000005</v>
      </c>
      <c r="M132" s="4">
        <f>K132*0.1</f>
        <v>553290.24000000011</v>
      </c>
      <c r="N132" s="4">
        <f>K132*0.18</f>
        <v>995922.43200000003</v>
      </c>
      <c r="O132" s="15">
        <f>K132+L132+M132+N132</f>
        <v>7358760.1920000007</v>
      </c>
    </row>
  </sheetData>
  <mergeCells count="18">
    <mergeCell ref="B127:O127"/>
    <mergeCell ref="B119:P119"/>
    <mergeCell ref="B49:D49"/>
    <mergeCell ref="H49:J49"/>
    <mergeCell ref="B19:G19"/>
    <mergeCell ref="B25:D25"/>
    <mergeCell ref="B38:E38"/>
    <mergeCell ref="B104:R104"/>
    <mergeCell ref="I120:J120"/>
    <mergeCell ref="K120:L120"/>
    <mergeCell ref="N120:O120"/>
    <mergeCell ref="B112:L112"/>
    <mergeCell ref="G120:H120"/>
    <mergeCell ref="I4:J4"/>
    <mergeCell ref="L4:M4"/>
    <mergeCell ref="O4:P4"/>
    <mergeCell ref="B3:P3"/>
    <mergeCell ref="B4:G4"/>
  </mergeCells>
  <phoneticPr fontId="15" type="noConversion"/>
  <dataValidations count="1">
    <dataValidation type="list" allowBlank="1" showInputMessage="1" showErrorMessage="1" sqref="D51 D107:D109" xr:uid="{8148C381-B48E-4DB6-AEEC-DF07670AC78D}">
      <formula1>#REF!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ADA-Bengaluru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Subhashchandra D</dc:creator>
  <cp:lastModifiedBy>SDC-2</cp:lastModifiedBy>
  <dcterms:created xsi:type="dcterms:W3CDTF">2025-11-19T11:22:05Z</dcterms:created>
  <dcterms:modified xsi:type="dcterms:W3CDTF">2026-02-04T12:01:43Z</dcterms:modified>
</cp:coreProperties>
</file>
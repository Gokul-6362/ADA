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G:\GOKUL\ADA\"/>
    </mc:Choice>
  </mc:AlternateContent>
  <xr:revisionPtr revIDLastSave="0" documentId="13_ncr:1_{ED745BE8-0D0F-431C-9B3C-11B5734D0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lling Operation" sheetId="3" r:id="rId1"/>
    <sheet name="TURNING OPERATION" sheetId="2" r:id="rId2"/>
    <sheet name="Sheet Metal Forming Oper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0" i="3" l="1"/>
  <c r="H95" i="4"/>
  <c r="G80" i="3"/>
  <c r="R60" i="3"/>
  <c r="T60" i="3"/>
  <c r="I95" i="4"/>
  <c r="G95" i="4"/>
  <c r="V89" i="4"/>
  <c r="R109" i="3"/>
  <c r="R80" i="3"/>
  <c r="V97" i="4"/>
  <c r="R61" i="3"/>
  <c r="F95" i="4"/>
  <c r="F87" i="4"/>
  <c r="S88" i="4"/>
  <c r="P96" i="4"/>
  <c r="O96" i="4"/>
  <c r="N96" i="4"/>
  <c r="M96" i="4"/>
  <c r="L96" i="4"/>
  <c r="K96" i="4"/>
  <c r="J96" i="4"/>
  <c r="I96" i="4"/>
  <c r="O95" i="4"/>
  <c r="N95" i="4"/>
  <c r="M95" i="4"/>
  <c r="P95" i="4" s="1"/>
  <c r="K95" i="4"/>
  <c r="J95" i="4"/>
  <c r="L95" i="4"/>
  <c r="O88" i="4"/>
  <c r="N88" i="4"/>
  <c r="M88" i="4"/>
  <c r="O87" i="4"/>
  <c r="N87" i="4"/>
  <c r="M87" i="4"/>
  <c r="K88" i="4"/>
  <c r="J88" i="4"/>
  <c r="I88" i="4"/>
  <c r="K87" i="4"/>
  <c r="J87" i="4"/>
  <c r="I87" i="4"/>
  <c r="G96" i="4"/>
  <c r="H96" i="4" s="1"/>
  <c r="T96" i="4"/>
  <c r="T95" i="4"/>
  <c r="S80" i="3"/>
  <c r="S60" i="3"/>
  <c r="F109" i="3"/>
  <c r="G109" i="3" s="1"/>
  <c r="S109" i="3"/>
  <c r="M109" i="3"/>
  <c r="O109" i="3" s="1"/>
  <c r="K109" i="3"/>
  <c r="K81" i="3"/>
  <c r="O81" i="3"/>
  <c r="K80" i="3"/>
  <c r="O83" i="3"/>
  <c r="Q83" i="3"/>
  <c r="P83" i="3"/>
  <c r="Q95" i="4" l="1"/>
  <c r="R95" i="4" s="1"/>
  <c r="S95" i="4" s="1"/>
  <c r="U97" i="4" s="1"/>
  <c r="Q96" i="4"/>
  <c r="R96" i="4" s="1"/>
  <c r="S96" i="4" s="1"/>
  <c r="M80" i="3"/>
  <c r="O80" i="3" s="1"/>
  <c r="N60" i="3"/>
  <c r="M60" i="3"/>
  <c r="L60" i="3"/>
  <c r="J60" i="3"/>
  <c r="I60" i="3"/>
  <c r="H60" i="3"/>
  <c r="F59" i="4"/>
  <c r="F58" i="4"/>
  <c r="T88" i="4"/>
  <c r="T87" i="4"/>
  <c r="H88" i="4"/>
  <c r="H87" i="4"/>
  <c r="S61" i="3"/>
  <c r="G61" i="3"/>
  <c r="C11" i="4"/>
  <c r="C14" i="2"/>
  <c r="C14" i="3"/>
  <c r="P109" i="3" s="1"/>
  <c r="Q109" i="3" s="1"/>
  <c r="T109" i="3" s="1"/>
  <c r="M58" i="2"/>
  <c r="L58" i="2"/>
  <c r="K58" i="2"/>
  <c r="M57" i="2"/>
  <c r="L57" i="2"/>
  <c r="K57" i="2"/>
  <c r="I58" i="2"/>
  <c r="H58" i="2"/>
  <c r="G58" i="2"/>
  <c r="N61" i="3"/>
  <c r="M61" i="3"/>
  <c r="L61" i="3"/>
  <c r="J61" i="3"/>
  <c r="I61" i="3"/>
  <c r="H61" i="3"/>
  <c r="R58" i="2"/>
  <c r="R57" i="2"/>
  <c r="F58" i="2"/>
  <c r="F57" i="2"/>
  <c r="J57" i="2" l="1"/>
  <c r="J83" i="3"/>
  <c r="L83" i="3" s="1"/>
  <c r="G83" i="3"/>
  <c r="I83" i="3" s="1"/>
  <c r="P80" i="3"/>
  <c r="Q80" i="3" s="1"/>
  <c r="T80" i="3" s="1"/>
  <c r="O61" i="3"/>
  <c r="N57" i="2"/>
  <c r="J58" i="2"/>
  <c r="L88" i="4"/>
  <c r="P88" i="4"/>
  <c r="L87" i="4"/>
  <c r="P87" i="4"/>
  <c r="N58" i="2"/>
  <c r="O60" i="3"/>
  <c r="K61" i="3"/>
  <c r="K60" i="3"/>
  <c r="P61" i="3" l="1"/>
  <c r="Q61" i="3" s="1"/>
  <c r="O57" i="2"/>
  <c r="P57" i="2" s="1"/>
  <c r="Q57" i="2" s="1"/>
  <c r="O58" i="2"/>
  <c r="P58" i="2" s="1"/>
  <c r="Q58" i="2" s="1"/>
  <c r="Q88" i="4"/>
  <c r="R88" i="4" s="1"/>
  <c r="Q87" i="4"/>
  <c r="R87" i="4" s="1"/>
  <c r="S87" i="4" s="1"/>
  <c r="U89" i="4" s="1"/>
  <c r="P60" i="3"/>
  <c r="Q60" i="3" s="1"/>
  <c r="T61" i="3" l="1"/>
  <c r="S58" i="2"/>
  <c r="S57" i="2"/>
</calcChain>
</file>

<file path=xl/sharedStrings.xml><?xml version="1.0" encoding="utf-8"?>
<sst xmlns="http://schemas.openxmlformats.org/spreadsheetml/2006/main" count="403" uniqueCount="152">
  <si>
    <t>Material</t>
  </si>
  <si>
    <t>Turning 
Time (Hr)</t>
  </si>
  <si>
    <t>Cutting Speed, V (m/min)</t>
  </si>
  <si>
    <t>Depth of Cut, d 
(mm)</t>
  </si>
  <si>
    <t>Feed Rate, f
(mm/rev)</t>
  </si>
  <si>
    <t>Total manufacturing time, hr</t>
  </si>
  <si>
    <t>Diameter, mm</t>
  </si>
  <si>
    <t>Aluminium</t>
  </si>
  <si>
    <t>Sl. No.</t>
  </si>
  <si>
    <t>Roughing-Material Removal Rate (MRR) mm3/ min</t>
  </si>
  <si>
    <t>Finishing- Material Removal Rate (MRR) mm3/ min</t>
  </si>
  <si>
    <t>20-50</t>
  </si>
  <si>
    <t>51-100</t>
  </si>
  <si>
    <t>&gt;101</t>
  </si>
  <si>
    <t>Steel</t>
  </si>
  <si>
    <t>.stp file</t>
  </si>
  <si>
    <t>Roughing</t>
  </si>
  <si>
    <t>Finishing</t>
  </si>
  <si>
    <t>Diameter, D</t>
  </si>
  <si>
    <t>Length, L</t>
  </si>
  <si>
    <t>Cutting Speed, v (m/min)</t>
  </si>
  <si>
    <t>Length (mm)</t>
  </si>
  <si>
    <t>Diameter (mm)</t>
  </si>
  <si>
    <t>CAD Model Volume (mm3)</t>
  </si>
  <si>
    <t>Volume Removed, VR (mm3)</t>
  </si>
  <si>
    <t>Roughing percentage</t>
  </si>
  <si>
    <t>Finishing percentage</t>
  </si>
  <si>
    <t>MHR (Rs/ hr)</t>
  </si>
  <si>
    <t>Material cost/kg</t>
  </si>
  <si>
    <t>Al</t>
  </si>
  <si>
    <t>Density, Kg/m3</t>
  </si>
  <si>
    <t>Manufacturing Cost ( Rs)</t>
  </si>
  <si>
    <t>Material Cost</t>
  </si>
  <si>
    <t>Total Cost including materials</t>
  </si>
  <si>
    <t>TURNING</t>
  </si>
  <si>
    <t>Derived Data (derived from CAD model)</t>
  </si>
  <si>
    <t>Allowance for stock dia., Ad</t>
  </si>
  <si>
    <t>Allowance for stock holding, Ah</t>
  </si>
  <si>
    <t>MILLING</t>
  </si>
  <si>
    <t>Stock Size: Dia: (D+Ad) x  (L+Ah), Volume: Vs={Pi x (D+Ad)^2 x (L+Ah)/4}</t>
  </si>
  <si>
    <t>Volume Removed, VR= Vs-V</t>
  </si>
  <si>
    <t>Stock Size: L+Al, B+Ab, H+Ah; Stock Volume, Vs: (L+Al)x(B+Ab)x(H+Ah)</t>
  </si>
  <si>
    <t>Volume Removed, VR= (Vs - V)</t>
  </si>
  <si>
    <t>Length, mm</t>
  </si>
  <si>
    <t>Material cost/ kg</t>
  </si>
  <si>
    <t>Feedrate, fr
(mm/ min)</t>
  </si>
  <si>
    <t>Axial DOC, mm
(mm)</t>
  </si>
  <si>
    <t>Radial WOC, mm</t>
  </si>
  <si>
    <t>Percentage of Machining Time wrt manufacturing time</t>
  </si>
  <si>
    <t>Default Database (editable, calculation to be done backhand)</t>
  </si>
  <si>
    <t>Input data (to be shown in UI)</t>
  </si>
  <si>
    <t>Material: Aluminium, Steel</t>
  </si>
  <si>
    <t>Material: Aluminium Steel</t>
  </si>
  <si>
    <t xml:space="preserve">5- Axis </t>
  </si>
  <si>
    <t>4- Axis</t>
  </si>
  <si>
    <t>3- Axis</t>
  </si>
  <si>
    <t xml:space="preserve">Operations: </t>
  </si>
  <si>
    <t>5 axis-Milling in percentage, M5</t>
  </si>
  <si>
    <t>3 axis-Milling in percentage, M5</t>
  </si>
  <si>
    <t>4 axis-Milling in percentage, M5</t>
  </si>
  <si>
    <t>Machine Hourly Rate (MHR), Rs/ hr</t>
  </si>
  <si>
    <t>Breadth</t>
  </si>
  <si>
    <t>Height</t>
  </si>
  <si>
    <t>CAD Model Volume, V (mm3)</t>
  </si>
  <si>
    <t>Milling 
Time (Hr)</t>
  </si>
  <si>
    <t xml:space="preserve">Manufacturing Cost </t>
  </si>
  <si>
    <t>CALCULATION WITH A TYPICAL EXAMPLE</t>
  </si>
  <si>
    <t>Total Cost</t>
  </si>
  <si>
    <t>Manufacturing Cost</t>
  </si>
  <si>
    <t xml:space="preserve">Total Cost </t>
  </si>
  <si>
    <t>Tool Design Cost</t>
  </si>
  <si>
    <t>SL No</t>
  </si>
  <si>
    <t>Part Size</t>
  </si>
  <si>
    <t>Type of Tool</t>
  </si>
  <si>
    <t>No of Tools</t>
  </si>
  <si>
    <t>Design Hours</t>
  </si>
  <si>
    <t>Cost per Hr</t>
  </si>
  <si>
    <t>&lt;500mm</t>
  </si>
  <si>
    <t>Simple Rubber Pad Form Tool</t>
  </si>
  <si>
    <t>2 No. (Male &amp; Female)</t>
  </si>
  <si>
    <t>Complex Rubber Pad Form Tool</t>
  </si>
  <si>
    <t>&gt; 1000mm</t>
  </si>
  <si>
    <t>Stretch Form Tool</t>
  </si>
  <si>
    <t>1 No. (Only Male)</t>
  </si>
  <si>
    <t>Tool Material Cost</t>
  </si>
  <si>
    <t>Tool Manufacturing Cost</t>
  </si>
  <si>
    <t>501 to 1000mm</t>
  </si>
  <si>
    <t>SHEET METAL FORMING</t>
  </si>
  <si>
    <t>MALE</t>
  </si>
  <si>
    <t>FEMALE</t>
  </si>
  <si>
    <t>Volume Removed, VRm= (Vs - V)</t>
  </si>
  <si>
    <t>Volume Removed, VRf= (Vs - V)</t>
  </si>
  <si>
    <t xml:space="preserve">3- Axis </t>
  </si>
  <si>
    <t>.stp file of Sheet Metal</t>
  </si>
  <si>
    <t>Male Form Tool</t>
  </si>
  <si>
    <t>Female Form Tool</t>
  </si>
  <si>
    <t>Sheet Metal component</t>
  </si>
  <si>
    <t>Bounding Box Size: Length (L), Breadth (B), Height (H), Volume: V</t>
  </si>
  <si>
    <t>Bounding Box size : Dia D x L , Volume: V</t>
  </si>
  <si>
    <t>Part forming cost</t>
  </si>
  <si>
    <t>Tool Design Cost (Rs)</t>
  </si>
  <si>
    <t>Tool Design Hourly Rate, Rs/ hr</t>
  </si>
  <si>
    <t>Part Forming cost</t>
  </si>
  <si>
    <t>Forming cost in terms of Percentage of (Tool material + Tool manufacturing cost)</t>
  </si>
  <si>
    <t>Bounding Box Size</t>
  </si>
  <si>
    <t>Length</t>
  </si>
  <si>
    <t>Ab</t>
  </si>
  <si>
    <t>Ah</t>
  </si>
  <si>
    <t>Raw Material allowance</t>
  </si>
  <si>
    <t>Cad Volume = 354983mm3</t>
  </si>
  <si>
    <t>Turning</t>
  </si>
  <si>
    <t>Boring</t>
  </si>
  <si>
    <t>Threading</t>
  </si>
  <si>
    <t>Milling</t>
  </si>
  <si>
    <t>Operations</t>
  </si>
  <si>
    <t>Machine Size</t>
  </si>
  <si>
    <t>500x500x300</t>
  </si>
  <si>
    <t>1000x800x500</t>
  </si>
  <si>
    <t>2000x1000x500</t>
  </si>
  <si>
    <t>3000x1500x800</t>
  </si>
  <si>
    <t>Logic : First Check the part fits in which machine size, then fix the MHR</t>
  </si>
  <si>
    <t>Machine Size (Swing Dia.x Turning Length)</t>
  </si>
  <si>
    <t>&lt; Dia 200x400</t>
  </si>
  <si>
    <t>&lt;Dia 300x800</t>
  </si>
  <si>
    <t>&lt;Dia 450x1500</t>
  </si>
  <si>
    <t>Note</t>
  </si>
  <si>
    <t>Female tool volume in percentage of Bounding Box volume</t>
  </si>
  <si>
    <t>Male tool volume in percentage of Bounding Box volume</t>
  </si>
  <si>
    <t>12L-1B-3340-003-1A0</t>
  </si>
  <si>
    <t>12L-1C-3010-001-1A0</t>
  </si>
  <si>
    <t>CALCULATION WITH TYPICAL EXAMPLES</t>
  </si>
  <si>
    <t>Set up time including Program time</t>
  </si>
  <si>
    <t>Roughing time</t>
  </si>
  <si>
    <t>Finishing Time</t>
  </si>
  <si>
    <t>Setup time including Programming</t>
  </si>
  <si>
    <t>With JAYKAY input</t>
  </si>
  <si>
    <t xml:space="preserve">Volume removed by roughing </t>
  </si>
  <si>
    <t>MRR as per Jaykay</t>
  </si>
  <si>
    <t>Volume removed by finishing</t>
  </si>
  <si>
    <t xml:space="preserve">Finishing Time </t>
  </si>
  <si>
    <t>Percentage of machining time wrt manufacturing time</t>
  </si>
  <si>
    <t>% of 3axis</t>
  </si>
  <si>
    <t>% of 5 axis</t>
  </si>
  <si>
    <t>MRR as per Jaykay (mm3/min)</t>
  </si>
  <si>
    <t>Roughing Time (hr)</t>
  </si>
  <si>
    <t>CASE 1: where both male and female tools are attached</t>
  </si>
  <si>
    <t>CASE 2: Where only sheet metal part is given</t>
  </si>
  <si>
    <t>Stock Size: L+Al, B+Ab, 55; Stock Volume, Vs: (L+Al)x(B+Ab)x55</t>
  </si>
  <si>
    <t>Bounding Box Size: Length (L), Breadth (B), Height (50), Volume: V= 0.7xLxBx50</t>
  </si>
  <si>
    <t>CASE 1</t>
  </si>
  <si>
    <t>CASE 2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</si>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</sst>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2" fontId="0" fillId="0" borderId="1" xfId="0" applyNumberFormat="1" applyBorder="1"/>
    <xf numFmtId="0" fontId="0" fillId="4" borderId="1" xfId="0" applyFill="1" applyBorder="1"/>
    <xf numFmtId="0" fontId="0" fillId="4" borderId="5" xfId="0" applyFill="1" applyBorder="1"/>
    <xf numFmtId="0" fontId="0" fillId="0" borderId="5" xfId="0" applyFill="1" applyBorder="1"/>
    <xf numFmtId="0" fontId="2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6" xfId="0" applyBorder="1"/>
    <xf numFmtId="0" fontId="0" fillId="4" borderId="1" xfId="0" applyFill="1" applyBorder="1" applyAlignment="1"/>
    <xf numFmtId="0" fontId="0" fillId="7" borderId="1" xfId="0" applyFill="1" applyBorder="1" applyAlignme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10" borderId="0" xfId="0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0" fontId="2" fillId="4" borderId="5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0" fillId="0" borderId="1" xfId="0" applyFill="1" applyBorder="1" applyAlignment="1">
      <alignment wrapText="1"/>
    </xf>
    <xf numFmtId="0" fontId="2" fillId="0" borderId="1" xfId="0" applyFont="1" applyBorder="1"/>
    <xf numFmtId="0" fontId="0" fillId="0" borderId="0" xfId="0" applyAlignment="1">
      <alignment wrapText="1"/>
    </xf>
    <xf numFmtId="3" fontId="0" fillId="0" borderId="1" xfId="0" applyNumberFormat="1" applyBorder="1"/>
    <xf numFmtId="0" fontId="0" fillId="9" borderId="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37</xdr:row>
      <xdr:rowOff>12575</xdr:rowOff>
    </xdr:from>
    <xdr:to>
      <xdr:col>4</xdr:col>
      <xdr:colOff>1638300</xdr:colOff>
      <xdr:row>46</xdr:row>
      <xdr:rowOff>144349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6925" y="7327775"/>
          <a:ext cx="3324225" cy="184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24847</xdr:colOff>
      <xdr:row>64</xdr:row>
      <xdr:rowOff>16565</xdr:rowOff>
    </xdr:from>
    <xdr:to>
      <xdr:col>5</xdr:col>
      <xdr:colOff>526025</xdr:colOff>
      <xdr:row>75</xdr:row>
      <xdr:rowOff>151271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A75F5-FF34-2E90-03A7-786BB70BA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4869" y="13740848"/>
          <a:ext cx="2538699" cy="2230206"/>
        </a:xfrm>
        <a:prstGeom prst="rect">
          <a:avLst/>
        </a:prstGeom>
      </xdr:spPr>
    </xdr:pic>
    <xdr:clientData/>
  </xdr:twoCellAnchor>
  <xdr:twoCellAnchor editAs="oneCell">
    <xdr:from>
      <xdr:col>4</xdr:col>
      <xdr:colOff>342650</xdr:colOff>
      <xdr:row>90</xdr:row>
      <xdr:rowOff>152429</xdr:rowOff>
    </xdr:from>
    <xdr:to>
      <xdr:col>5</xdr:col>
      <xdr:colOff>541433</xdr:colOff>
      <xdr:row>102</xdr:row>
      <xdr:rowOff>106245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91F2C1-2185-0C68-2739-51FE38AE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2614" y="21093822"/>
          <a:ext cx="2239855" cy="2239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380999</xdr:colOff>
      <xdr:row>30</xdr:row>
      <xdr:rowOff>155850</xdr:rowOff>
    </xdr:from>
    <xdr:to>
      <xdr:col>5</xdr:col>
      <xdr:colOff>1073607</xdr:colOff>
      <xdr:row>42</xdr:row>
      <xdr:rowOff>168088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1087" y="5837232"/>
          <a:ext cx="3706991" cy="2298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524246</xdr:colOff>
      <xdr:row>44</xdr:row>
      <xdr:rowOff>22762</xdr:rowOff>
    </xdr:from>
    <xdr:to>
      <xdr:col>3</xdr:col>
      <xdr:colOff>1205923</xdr:colOff>
      <xdr:row>60</xdr:row>
      <xdr:rowOff>45027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396" y="8071387"/>
          <a:ext cx="6301427" cy="383226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64</xdr:row>
      <xdr:rowOff>114299</xdr:rowOff>
    </xdr:from>
    <xdr:to>
      <xdr:col>1</xdr:col>
      <xdr:colOff>3200401</xdr:colOff>
      <xdr:row>67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7AC39-1DB7-460B-8354-6422B36E0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67" t="29825" r="49211" b="56256"/>
        <a:stretch/>
      </xdr:blipFill>
      <xdr:spPr>
        <a:xfrm>
          <a:off x="581025" y="14277974"/>
          <a:ext cx="3057526" cy="533401"/>
        </a:xfrm>
        <a:prstGeom prst="rect">
          <a:avLst/>
        </a:prstGeom>
      </xdr:spPr>
    </xdr:pic>
    <xdr:clientData/>
  </xdr:twoCellAnchor>
  <xdr:twoCellAnchor editAs="oneCell">
    <xdr:from>
      <xdr:col>2</xdr:col>
      <xdr:colOff>1076324</xdr:colOff>
      <xdr:row>63</xdr:row>
      <xdr:rowOff>66675</xdr:rowOff>
    </xdr:from>
    <xdr:to>
      <xdr:col>4</xdr:col>
      <xdr:colOff>906</xdr:colOff>
      <xdr:row>71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BD0A38-56D5-6292-39C0-5B380AF420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356" t="15403" r="6356" b="17209"/>
        <a:stretch/>
      </xdr:blipFill>
      <xdr:spPr>
        <a:xfrm>
          <a:off x="4876799" y="14039850"/>
          <a:ext cx="2896507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"/>
  <sheetViews>
    <sheetView tabSelected="1" topLeftCell="E1" zoomScale="70" zoomScaleNormal="70" workbookViewId="0">
      <selection activeCell="G60" sqref="G60"/>
    </sheetView>
  </sheetViews>
  <sheetFormatPr defaultRowHeight="15" x14ac:dyDescent="0.25"/>
  <cols>
    <col min="2" max="2" width="38.85546875" customWidth="1"/>
    <col min="3" max="3" width="28.140625" customWidth="1"/>
    <col min="4" max="4" width="25.7109375" customWidth="1"/>
    <col min="5" max="5" width="30.5703125" customWidth="1"/>
    <col min="6" max="6" width="30.140625" customWidth="1"/>
    <col min="7" max="7" width="70.7109375" bestFit="1" customWidth="1"/>
    <col min="8" max="8" width="33.28515625" customWidth="1"/>
    <col min="9" max="9" width="46.85546875" customWidth="1"/>
    <col min="10" max="10" width="16" bestFit="1" customWidth="1"/>
    <col min="11" max="11" width="19" bestFit="1" customWidth="1"/>
    <col min="14" max="14" width="14.140625" customWidth="1"/>
    <col min="15" max="15" width="19.28515625" customWidth="1"/>
    <col min="18" max="18" width="16.7109375" customWidth="1"/>
    <col min="19" max="19" width="18.85546875" bestFit="1" customWidth="1"/>
    <col min="20" max="20" width="13.28515625" customWidth="1"/>
    <col min="24" max="24" width="20.7109375" customWidth="1"/>
    <col min="25" max="25" width="14.5703125" bestFit="1" customWidth="1"/>
    <col min="26" max="26" width="15" bestFit="1" customWidth="1"/>
  </cols>
  <sheetData>
    <row r="1" spans="2:9" x14ac:dyDescent="0.25">
      <c r="B1" s="45" t="s">
        <v>38</v>
      </c>
      <c r="C1" s="45"/>
      <c r="D1" s="45"/>
      <c r="E1" s="45"/>
      <c r="F1" s="45"/>
      <c r="G1" s="45"/>
      <c r="H1" s="45"/>
      <c r="I1" s="45"/>
    </row>
    <row r="2" spans="2:9" x14ac:dyDescent="0.25">
      <c r="B2" s="45"/>
      <c r="C2" s="45"/>
      <c r="D2" s="45"/>
      <c r="E2" s="45"/>
      <c r="F2" s="45"/>
      <c r="G2" s="45"/>
      <c r="H2" s="45"/>
      <c r="I2" s="45"/>
    </row>
    <row r="3" spans="2:9" x14ac:dyDescent="0.25">
      <c r="B3" s="46" t="s">
        <v>49</v>
      </c>
      <c r="C3" s="46"/>
      <c r="D3" s="46"/>
      <c r="E3" s="46"/>
      <c r="F3" s="46"/>
      <c r="G3" s="46"/>
      <c r="H3" s="46"/>
      <c r="I3" s="46"/>
    </row>
    <row r="4" spans="2:9" x14ac:dyDescent="0.25">
      <c r="B4" s="1"/>
      <c r="C4" s="1"/>
      <c r="D4" s="47" t="s">
        <v>16</v>
      </c>
      <c r="E4" s="48"/>
      <c r="F4" s="49"/>
      <c r="G4" s="50" t="s">
        <v>17</v>
      </c>
      <c r="H4" s="50"/>
      <c r="I4" s="50"/>
    </row>
    <row r="5" spans="2:9" ht="28.5" x14ac:dyDescent="0.25">
      <c r="B5" s="5" t="s">
        <v>0</v>
      </c>
      <c r="C5" s="5" t="s">
        <v>43</v>
      </c>
      <c r="D5" s="6" t="s">
        <v>45</v>
      </c>
      <c r="E5" s="6" t="s">
        <v>46</v>
      </c>
      <c r="F5" s="6" t="s">
        <v>47</v>
      </c>
      <c r="G5" s="7" t="s">
        <v>45</v>
      </c>
      <c r="H5" s="7" t="s">
        <v>46</v>
      </c>
      <c r="I5" s="7" t="s">
        <v>47</v>
      </c>
    </row>
    <row r="6" spans="2:9" x14ac:dyDescent="0.25">
      <c r="B6" s="4" t="s">
        <v>7</v>
      </c>
      <c r="C6" s="4" t="s">
        <v>11</v>
      </c>
      <c r="D6" s="4">
        <v>1000</v>
      </c>
      <c r="E6" s="4">
        <v>5</v>
      </c>
      <c r="F6" s="4">
        <v>2</v>
      </c>
      <c r="G6" s="4">
        <v>1000</v>
      </c>
      <c r="H6" s="4">
        <v>1</v>
      </c>
      <c r="I6" s="4">
        <v>2.5</v>
      </c>
    </row>
    <row r="7" spans="2:9" x14ac:dyDescent="0.25">
      <c r="B7" s="4"/>
      <c r="C7" s="4" t="s">
        <v>12</v>
      </c>
      <c r="D7" s="4">
        <v>1000</v>
      </c>
      <c r="E7" s="4">
        <v>5</v>
      </c>
      <c r="F7" s="4">
        <v>2</v>
      </c>
      <c r="G7" s="4">
        <v>1000</v>
      </c>
      <c r="H7" s="4">
        <v>1</v>
      </c>
      <c r="I7" s="4">
        <v>2.5</v>
      </c>
    </row>
    <row r="8" spans="2:9" x14ac:dyDescent="0.25">
      <c r="B8" s="4"/>
      <c r="C8" s="8" t="s">
        <v>13</v>
      </c>
      <c r="D8" s="4">
        <v>1000</v>
      </c>
      <c r="E8" s="4">
        <v>5</v>
      </c>
      <c r="F8" s="4">
        <v>2</v>
      </c>
      <c r="G8" s="4">
        <v>1000</v>
      </c>
      <c r="H8" s="4">
        <v>1</v>
      </c>
      <c r="I8" s="4">
        <v>2.5</v>
      </c>
    </row>
    <row r="9" spans="2:9" x14ac:dyDescent="0.25">
      <c r="B9" s="4"/>
      <c r="C9" s="4"/>
      <c r="D9" s="4"/>
      <c r="E9" s="4"/>
      <c r="F9" s="4"/>
      <c r="G9" s="4"/>
      <c r="H9" s="4"/>
      <c r="I9" s="4"/>
    </row>
    <row r="10" spans="2:9" x14ac:dyDescent="0.25">
      <c r="B10" s="4" t="s">
        <v>14</v>
      </c>
      <c r="C10" s="4" t="s">
        <v>11</v>
      </c>
      <c r="D10" s="8">
        <v>500</v>
      </c>
      <c r="E10" s="8">
        <v>2.5</v>
      </c>
      <c r="F10" s="4">
        <v>2</v>
      </c>
      <c r="G10" s="8">
        <v>500</v>
      </c>
      <c r="H10" s="8">
        <v>0.5</v>
      </c>
      <c r="I10" s="8">
        <v>2.5</v>
      </c>
    </row>
    <row r="11" spans="2:9" x14ac:dyDescent="0.25">
      <c r="B11" s="4"/>
      <c r="C11" s="4" t="s">
        <v>12</v>
      </c>
      <c r="D11" s="8">
        <v>500</v>
      </c>
      <c r="E11" s="8">
        <v>2.5</v>
      </c>
      <c r="F11" s="4">
        <v>2</v>
      </c>
      <c r="G11" s="8">
        <v>500</v>
      </c>
      <c r="H11" s="8">
        <v>0.5</v>
      </c>
      <c r="I11" s="8">
        <v>2.5</v>
      </c>
    </row>
    <row r="12" spans="2:9" x14ac:dyDescent="0.25">
      <c r="B12" s="4"/>
      <c r="C12" s="8" t="s">
        <v>13</v>
      </c>
      <c r="D12" s="8">
        <v>500</v>
      </c>
      <c r="E12" s="8">
        <v>2.5</v>
      </c>
      <c r="F12" s="4">
        <v>2</v>
      </c>
      <c r="G12" s="8">
        <v>500</v>
      </c>
      <c r="H12" s="8">
        <v>0.5</v>
      </c>
      <c r="I12" s="8">
        <v>2.5</v>
      </c>
    </row>
    <row r="13" spans="2:9" x14ac:dyDescent="0.25">
      <c r="B13" s="37" t="s">
        <v>25</v>
      </c>
      <c r="C13" s="8">
        <v>80</v>
      </c>
      <c r="D13" s="10"/>
      <c r="E13" s="10"/>
      <c r="F13" s="10"/>
      <c r="G13" s="10"/>
      <c r="H13" s="10"/>
      <c r="I13" s="9"/>
    </row>
    <row r="14" spans="2:9" x14ac:dyDescent="0.25">
      <c r="B14" s="37" t="s">
        <v>26</v>
      </c>
      <c r="C14" s="4">
        <f>100-C13</f>
        <v>20</v>
      </c>
      <c r="D14" s="1"/>
      <c r="E14" s="1"/>
      <c r="F14" s="1"/>
      <c r="G14" s="1"/>
      <c r="H14" s="1"/>
      <c r="I14" s="1"/>
    </row>
    <row r="15" spans="2:9" x14ac:dyDescent="0.25">
      <c r="B15" s="9"/>
      <c r="C15" s="9"/>
      <c r="D15" s="1"/>
      <c r="E15" s="1"/>
      <c r="F15" s="1"/>
      <c r="G15" s="1"/>
      <c r="H15" s="1"/>
      <c r="I15" s="1"/>
    </row>
    <row r="16" spans="2:9" x14ac:dyDescent="0.25">
      <c r="B16" s="37" t="s">
        <v>48</v>
      </c>
      <c r="C16" s="4">
        <v>60</v>
      </c>
      <c r="D16" s="1"/>
      <c r="E16" s="1"/>
      <c r="F16" s="1"/>
      <c r="G16" s="1"/>
      <c r="H16" s="1"/>
      <c r="I16" s="1"/>
    </row>
    <row r="17" spans="1:12" x14ac:dyDescent="0.25">
      <c r="B17" s="37" t="s">
        <v>151</v>
      </c>
      <c r="C17" s="8">
        <v>1</v>
      </c>
      <c r="D17" s="1"/>
      <c r="E17" s="1"/>
      <c r="F17" s="1"/>
      <c r="G17" s="1"/>
      <c r="H17" s="1"/>
      <c r="I17" s="1"/>
      <c r="K17" s="1"/>
    </row>
    <row r="18" spans="1:12" s="1" customFormat="1" x14ac:dyDescent="0.25">
      <c r="B18" s="10"/>
      <c r="C18" s="10"/>
    </row>
    <row r="19" spans="1:12" s="1" customFormat="1" ht="15.75" thickBot="1" x14ac:dyDescent="0.3">
      <c r="B19" s="10"/>
      <c r="C19" s="10"/>
    </row>
    <row r="20" spans="1:12" s="1" customFormat="1" ht="15.75" thickBot="1" x14ac:dyDescent="0.3">
      <c r="A20" s="51" t="s">
        <v>60</v>
      </c>
      <c r="B20" s="51"/>
      <c r="C20" s="51"/>
      <c r="D20" s="51"/>
      <c r="E20" s="51"/>
      <c r="F20" s="9"/>
      <c r="G20" s="52" t="s">
        <v>104</v>
      </c>
      <c r="H20" s="53"/>
      <c r="I20" s="54"/>
      <c r="J20" s="52" t="s">
        <v>108</v>
      </c>
      <c r="K20" s="53"/>
      <c r="L20" s="54"/>
    </row>
    <row r="21" spans="1:12" s="1" customFormat="1" ht="15.75" thickBot="1" x14ac:dyDescent="0.3">
      <c r="A21" s="4"/>
      <c r="B21" s="4" t="s">
        <v>115</v>
      </c>
      <c r="C21" s="8" t="s">
        <v>53</v>
      </c>
      <c r="D21" s="4" t="s">
        <v>54</v>
      </c>
      <c r="E21" s="8" t="s">
        <v>55</v>
      </c>
      <c r="F21" s="9"/>
      <c r="G21" s="30" t="s">
        <v>105</v>
      </c>
      <c r="H21" s="31" t="s">
        <v>61</v>
      </c>
      <c r="I21" s="31" t="s">
        <v>62</v>
      </c>
      <c r="J21" s="31" t="s">
        <v>29</v>
      </c>
      <c r="K21" s="31" t="s">
        <v>106</v>
      </c>
      <c r="L21" s="31" t="s">
        <v>107</v>
      </c>
    </row>
    <row r="22" spans="1:12" s="1" customFormat="1" ht="15.75" thickBot="1" x14ac:dyDescent="0.3">
      <c r="A22" s="4" t="s">
        <v>29</v>
      </c>
      <c r="B22" s="8" t="s">
        <v>116</v>
      </c>
      <c r="C22" s="8">
        <v>1500</v>
      </c>
      <c r="D22" s="4">
        <v>1000</v>
      </c>
      <c r="E22" s="4">
        <v>600</v>
      </c>
      <c r="F22" s="9"/>
      <c r="G22" s="30">
        <v>50</v>
      </c>
      <c r="H22" s="31">
        <v>50</v>
      </c>
      <c r="I22" s="31">
        <v>50</v>
      </c>
      <c r="J22" s="31">
        <v>20</v>
      </c>
      <c r="K22" s="31">
        <v>20</v>
      </c>
      <c r="L22" s="31">
        <v>5</v>
      </c>
    </row>
    <row r="23" spans="1:12" s="1" customFormat="1" ht="15.75" thickBot="1" x14ac:dyDescent="0.3">
      <c r="A23" s="4"/>
      <c r="B23" s="8" t="s">
        <v>117</v>
      </c>
      <c r="C23" s="8">
        <v>1800</v>
      </c>
      <c r="D23" s="4">
        <v>1200</v>
      </c>
      <c r="E23" s="4">
        <v>800</v>
      </c>
      <c r="F23" s="9"/>
      <c r="G23" s="30">
        <v>100</v>
      </c>
      <c r="H23" s="31">
        <v>100</v>
      </c>
      <c r="I23" s="31">
        <v>100</v>
      </c>
      <c r="J23" s="31">
        <v>30</v>
      </c>
      <c r="K23" s="31">
        <v>30</v>
      </c>
      <c r="L23" s="31">
        <v>5</v>
      </c>
    </row>
    <row r="24" spans="1:12" s="1" customFormat="1" ht="15.75" thickBot="1" x14ac:dyDescent="0.3">
      <c r="A24" s="4"/>
      <c r="B24" s="8" t="s">
        <v>118</v>
      </c>
      <c r="C24" s="8">
        <v>2000</v>
      </c>
      <c r="D24" s="4">
        <v>1500</v>
      </c>
      <c r="E24" s="4">
        <v>1000</v>
      </c>
      <c r="F24" s="9"/>
      <c r="G24" s="30">
        <v>200</v>
      </c>
      <c r="H24" s="31">
        <v>200</v>
      </c>
      <c r="I24" s="31">
        <v>200</v>
      </c>
      <c r="J24" s="31">
        <v>30</v>
      </c>
      <c r="K24" s="31">
        <v>30</v>
      </c>
      <c r="L24" s="31">
        <v>5</v>
      </c>
    </row>
    <row r="25" spans="1:12" s="1" customFormat="1" ht="15.75" thickBot="1" x14ac:dyDescent="0.3">
      <c r="A25" s="4"/>
      <c r="B25" s="8" t="s">
        <v>119</v>
      </c>
      <c r="C25" s="8">
        <v>2500</v>
      </c>
      <c r="D25" s="4">
        <v>2000</v>
      </c>
      <c r="E25" s="4">
        <v>1500</v>
      </c>
      <c r="F25" s="9"/>
      <c r="G25" s="30">
        <v>500</v>
      </c>
      <c r="H25" s="31">
        <v>500</v>
      </c>
      <c r="I25" s="31">
        <v>500</v>
      </c>
      <c r="J25" s="31">
        <v>50</v>
      </c>
      <c r="K25" s="31">
        <v>50</v>
      </c>
      <c r="L25" s="31">
        <v>10</v>
      </c>
    </row>
    <row r="26" spans="1:12" s="1" customFormat="1" ht="15.75" thickBot="1" x14ac:dyDescent="0.3">
      <c r="A26" s="4"/>
      <c r="B26" s="8"/>
      <c r="C26" s="8"/>
      <c r="D26" s="4"/>
      <c r="E26" s="4"/>
      <c r="F26" s="9"/>
      <c r="G26" s="30">
        <v>1000</v>
      </c>
      <c r="H26" s="31">
        <v>800</v>
      </c>
      <c r="I26" s="31">
        <v>500</v>
      </c>
      <c r="J26" s="31">
        <v>100</v>
      </c>
      <c r="K26" s="31">
        <v>100</v>
      </c>
      <c r="L26" s="31">
        <v>10</v>
      </c>
    </row>
    <row r="27" spans="1:12" s="1" customFormat="1" ht="15.75" thickBot="1" x14ac:dyDescent="0.3">
      <c r="A27" s="4"/>
      <c r="B27" s="4"/>
      <c r="C27" s="8" t="s">
        <v>53</v>
      </c>
      <c r="D27" s="4" t="s">
        <v>54</v>
      </c>
      <c r="E27" s="8" t="s">
        <v>55</v>
      </c>
      <c r="F27" s="9"/>
      <c r="G27" s="30">
        <v>2000</v>
      </c>
      <c r="H27" s="31">
        <v>1000</v>
      </c>
      <c r="I27" s="31">
        <v>500</v>
      </c>
      <c r="J27" s="31">
        <v>100</v>
      </c>
      <c r="K27" s="31">
        <v>100</v>
      </c>
      <c r="L27" s="31">
        <v>10</v>
      </c>
    </row>
    <row r="28" spans="1:12" s="1" customFormat="1" ht="15.75" thickBot="1" x14ac:dyDescent="0.3">
      <c r="A28" s="4" t="s">
        <v>14</v>
      </c>
      <c r="B28" s="8" t="s">
        <v>116</v>
      </c>
      <c r="C28" s="8">
        <v>1500</v>
      </c>
      <c r="D28" s="4">
        <v>1000</v>
      </c>
      <c r="E28" s="4">
        <v>600</v>
      </c>
      <c r="F28" s="9"/>
      <c r="G28" s="30">
        <v>3000</v>
      </c>
      <c r="H28" s="31">
        <v>1500</v>
      </c>
      <c r="I28" s="31">
        <v>800</v>
      </c>
      <c r="J28" s="31">
        <v>100</v>
      </c>
      <c r="K28" s="31">
        <v>100</v>
      </c>
      <c r="L28" s="31">
        <v>10</v>
      </c>
    </row>
    <row r="29" spans="1:12" s="1" customFormat="1" x14ac:dyDescent="0.25">
      <c r="A29" s="4"/>
      <c r="B29" s="8" t="s">
        <v>117</v>
      </c>
      <c r="C29" s="8">
        <v>1800</v>
      </c>
      <c r="D29" s="4">
        <v>1200</v>
      </c>
      <c r="E29" s="4">
        <v>800</v>
      </c>
      <c r="F29" s="9"/>
    </row>
    <row r="30" spans="1:12" s="1" customFormat="1" x14ac:dyDescent="0.25">
      <c r="A30" s="4"/>
      <c r="B30" s="8" t="s">
        <v>118</v>
      </c>
      <c r="C30" s="8">
        <v>2000</v>
      </c>
      <c r="D30" s="4">
        <v>1500</v>
      </c>
      <c r="E30" s="4">
        <v>1000</v>
      </c>
      <c r="F30" s="9"/>
    </row>
    <row r="31" spans="1:12" s="1" customFormat="1" x14ac:dyDescent="0.25">
      <c r="A31" s="4"/>
      <c r="B31" s="8" t="s">
        <v>119</v>
      </c>
      <c r="C31" s="8">
        <v>2500</v>
      </c>
      <c r="D31" s="4">
        <v>2000</v>
      </c>
      <c r="E31" s="4">
        <v>1500</v>
      </c>
      <c r="F31" s="9"/>
    </row>
    <row r="32" spans="1:12" s="1" customFormat="1" x14ac:dyDescent="0.25">
      <c r="B32" s="10"/>
      <c r="C32" s="10"/>
      <c r="E32" s="9"/>
      <c r="F32" s="9"/>
    </row>
    <row r="33" spans="2:9" s="1" customFormat="1" x14ac:dyDescent="0.25">
      <c r="B33" s="10"/>
      <c r="C33" s="10"/>
      <c r="E33" s="9"/>
      <c r="F33" s="9"/>
    </row>
    <row r="34" spans="2:9" x14ac:dyDescent="0.25">
      <c r="B34" s="9"/>
      <c r="C34" s="9"/>
      <c r="D34" s="1"/>
      <c r="E34" s="1"/>
      <c r="F34" s="1"/>
      <c r="G34" s="1"/>
      <c r="H34" s="1"/>
      <c r="I34" s="1"/>
    </row>
    <row r="35" spans="2:9" x14ac:dyDescent="0.25">
      <c r="B35" s="51" t="s">
        <v>44</v>
      </c>
      <c r="C35" s="51"/>
      <c r="D35" s="37" t="s">
        <v>30</v>
      </c>
      <c r="E35" s="4"/>
      <c r="F35" s="1"/>
      <c r="G35" s="1"/>
      <c r="H35" s="1"/>
      <c r="I35" s="1"/>
    </row>
    <row r="36" spans="2:9" x14ac:dyDescent="0.25">
      <c r="B36" s="8" t="s">
        <v>29</v>
      </c>
      <c r="C36" s="4">
        <v>1700</v>
      </c>
      <c r="D36" s="4">
        <v>2780</v>
      </c>
      <c r="E36" s="4"/>
      <c r="F36" s="1"/>
      <c r="G36" s="1"/>
      <c r="H36" s="1"/>
      <c r="I36" s="1"/>
    </row>
    <row r="37" spans="2:9" x14ac:dyDescent="0.25">
      <c r="B37" s="8" t="s">
        <v>14</v>
      </c>
      <c r="C37" s="4">
        <v>3500</v>
      </c>
      <c r="D37" s="4">
        <v>7890</v>
      </c>
      <c r="E37" s="4"/>
      <c r="F37" s="1"/>
      <c r="G37" s="1"/>
      <c r="H37" s="1"/>
      <c r="I37" s="1"/>
    </row>
    <row r="38" spans="2:9" x14ac:dyDescent="0.25">
      <c r="B38" s="14"/>
      <c r="C38" s="9"/>
      <c r="D38" s="1"/>
      <c r="E38" s="1"/>
      <c r="F38" s="1"/>
      <c r="G38" s="1"/>
      <c r="H38" s="1"/>
      <c r="I38" s="1"/>
    </row>
    <row r="39" spans="2:9" x14ac:dyDescent="0.25">
      <c r="B39" s="13" t="s">
        <v>50</v>
      </c>
      <c r="C39" s="1"/>
      <c r="D39" s="1"/>
      <c r="E39" s="1"/>
      <c r="F39" s="1"/>
      <c r="G39" s="12" t="s">
        <v>35</v>
      </c>
      <c r="H39" s="1"/>
      <c r="I39" s="1"/>
    </row>
    <row r="40" spans="2:9" x14ac:dyDescent="0.25">
      <c r="B40" s="4" t="s">
        <v>15</v>
      </c>
      <c r="C40" s="1"/>
      <c r="D40" s="1"/>
      <c r="E40" s="1"/>
      <c r="F40" s="1"/>
      <c r="G40" s="4" t="s">
        <v>97</v>
      </c>
      <c r="H40" s="1"/>
      <c r="I40" s="1"/>
    </row>
    <row r="41" spans="2:9" x14ac:dyDescent="0.25">
      <c r="B41" s="17" t="s">
        <v>51</v>
      </c>
      <c r="C41" s="1"/>
      <c r="D41" s="1"/>
      <c r="E41" s="1"/>
      <c r="F41" s="1"/>
      <c r="G41" s="4" t="s">
        <v>41</v>
      </c>
      <c r="H41" s="1"/>
      <c r="I41" s="1"/>
    </row>
    <row r="42" spans="2:9" x14ac:dyDescent="0.25">
      <c r="B42" s="57" t="s">
        <v>56</v>
      </c>
      <c r="C42" s="57"/>
      <c r="D42" s="1"/>
      <c r="E42" s="1"/>
      <c r="F42" s="1"/>
      <c r="G42" s="4"/>
      <c r="H42" s="1"/>
      <c r="I42" s="1"/>
    </row>
    <row r="43" spans="2:9" x14ac:dyDescent="0.25">
      <c r="B43" s="4" t="s">
        <v>58</v>
      </c>
      <c r="C43" s="4">
        <v>70</v>
      </c>
      <c r="D43" s="1"/>
      <c r="E43" s="1"/>
      <c r="F43" s="1"/>
      <c r="G43" s="4" t="s">
        <v>42</v>
      </c>
      <c r="H43" s="1"/>
      <c r="I43" s="1"/>
    </row>
    <row r="44" spans="2:9" x14ac:dyDescent="0.25">
      <c r="B44" s="4" t="s">
        <v>59</v>
      </c>
      <c r="C44" s="4">
        <v>0</v>
      </c>
      <c r="G44" s="33"/>
    </row>
    <row r="45" spans="2:9" x14ac:dyDescent="0.25">
      <c r="B45" s="4" t="s">
        <v>57</v>
      </c>
      <c r="C45" s="4">
        <v>30</v>
      </c>
    </row>
    <row r="47" spans="2:9" s="1" customFormat="1" x14ac:dyDescent="0.25"/>
    <row r="48" spans="2:9" s="1" customFormat="1" ht="30" x14ac:dyDescent="0.25">
      <c r="B48" s="38" t="s">
        <v>120</v>
      </c>
    </row>
    <row r="49" spans="1:26" s="1" customFormat="1" x14ac:dyDescent="0.25">
      <c r="B49" s="39" t="s">
        <v>115</v>
      </c>
    </row>
    <row r="50" spans="1:26" s="1" customFormat="1" x14ac:dyDescent="0.25">
      <c r="B50" s="4" t="s">
        <v>116</v>
      </c>
    </row>
    <row r="51" spans="1:26" s="1" customFormat="1" x14ac:dyDescent="0.25">
      <c r="B51" s="4" t="s">
        <v>117</v>
      </c>
    </row>
    <row r="52" spans="1:26" x14ac:dyDescent="0.25">
      <c r="B52" s="4" t="s">
        <v>118</v>
      </c>
    </row>
    <row r="53" spans="1:26" x14ac:dyDescent="0.25">
      <c r="B53" s="4" t="s">
        <v>119</v>
      </c>
      <c r="E53" s="28"/>
    </row>
    <row r="54" spans="1:26" s="1" customFormat="1" x14ac:dyDescent="0.25">
      <c r="E54" s="28"/>
    </row>
    <row r="55" spans="1:26" s="1" customFormat="1" x14ac:dyDescent="0.25">
      <c r="E55" s="28"/>
    </row>
    <row r="56" spans="1:26" x14ac:dyDescent="0.25">
      <c r="A56" s="55" t="s">
        <v>130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</row>
    <row r="57" spans="1:26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</row>
    <row r="58" spans="1:26" x14ac:dyDescent="0.25">
      <c r="A58" s="42" t="s">
        <v>68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19" t="s">
        <v>32</v>
      </c>
      <c r="T58" s="18" t="s">
        <v>69</v>
      </c>
    </row>
    <row r="59" spans="1:26" ht="55.5" customHeight="1" x14ac:dyDescent="0.25">
      <c r="A59" s="5" t="s">
        <v>8</v>
      </c>
      <c r="B59" s="5" t="s">
        <v>0</v>
      </c>
      <c r="C59" s="5" t="s">
        <v>21</v>
      </c>
      <c r="D59" s="5" t="s">
        <v>61</v>
      </c>
      <c r="E59" s="5" t="s">
        <v>62</v>
      </c>
      <c r="F59" s="5" t="s">
        <v>63</v>
      </c>
      <c r="G59" s="5" t="s">
        <v>24</v>
      </c>
      <c r="H59" s="6" t="s">
        <v>45</v>
      </c>
      <c r="I59" s="6" t="s">
        <v>46</v>
      </c>
      <c r="J59" s="6" t="s">
        <v>47</v>
      </c>
      <c r="K59" s="6" t="s">
        <v>9</v>
      </c>
      <c r="L59" s="7" t="s">
        <v>45</v>
      </c>
      <c r="M59" s="7" t="s">
        <v>46</v>
      </c>
      <c r="N59" s="7" t="s">
        <v>47</v>
      </c>
      <c r="O59" s="7" t="s">
        <v>10</v>
      </c>
      <c r="P59" s="2" t="s">
        <v>64</v>
      </c>
      <c r="Q59" s="2" t="s">
        <v>5</v>
      </c>
      <c r="R59" s="2" t="s">
        <v>31</v>
      </c>
      <c r="S59" s="15" t="s">
        <v>32</v>
      </c>
      <c r="T59" s="2" t="s">
        <v>33</v>
      </c>
    </row>
    <row r="60" spans="1:26" x14ac:dyDescent="0.25">
      <c r="A60" s="4">
        <v>1</v>
      </c>
      <c r="B60" s="4" t="s">
        <v>7</v>
      </c>
      <c r="C60" s="4">
        <v>811</v>
      </c>
      <c r="D60" s="4">
        <v>810</v>
      </c>
      <c r="E60" s="4">
        <v>43</v>
      </c>
      <c r="F60" s="4">
        <v>1618705</v>
      </c>
      <c r="G60" s="4">
        <f>(C60+J$26)*(D60+K$26)*(E60+L$22)-F60</f>
        <v>38173775</v>
      </c>
      <c r="H60" s="4">
        <f>D$8</f>
        <v>1000</v>
      </c>
      <c r="I60" s="4">
        <f>E$8</f>
        <v>5</v>
      </c>
      <c r="J60" s="4">
        <f>F$8</f>
        <v>2</v>
      </c>
      <c r="K60" s="4">
        <f>H60*I60*J60</f>
        <v>10000</v>
      </c>
      <c r="L60" s="4">
        <f>G$8</f>
        <v>1000</v>
      </c>
      <c r="M60" s="4">
        <f>H$8</f>
        <v>1</v>
      </c>
      <c r="N60" s="4">
        <f>I$8</f>
        <v>2.5</v>
      </c>
      <c r="O60" s="4">
        <f>L60*M60*N60</f>
        <v>2500</v>
      </c>
      <c r="P60" s="11">
        <f>(G60*(C$13/100)/K60+G60*(C$14/100)/O60)/60</f>
        <v>101.79673333333334</v>
      </c>
      <c r="Q60" s="11">
        <f>P60*100/C$16</f>
        <v>169.66122222222222</v>
      </c>
      <c r="R60" s="4">
        <f>((Q60*E$24*C$43/100)+(Q60*D$24*C$44/100)+(Q60*C$24*C$45/100))*$C$17</f>
        <v>220559.58888888889</v>
      </c>
      <c r="S60" s="16">
        <f>(C60+J$26)*(D60+K$26)*(E60+L$22)*10^-9*D$36*C$36</f>
        <v>188059.26048000003</v>
      </c>
      <c r="T60" s="11">
        <f>R60+S60</f>
        <v>408618.84936888888</v>
      </c>
    </row>
    <row r="61" spans="1:26" x14ac:dyDescent="0.25">
      <c r="A61" s="4">
        <v>2</v>
      </c>
      <c r="B61" s="4" t="s">
        <v>14</v>
      </c>
      <c r="C61" s="4">
        <v>811</v>
      </c>
      <c r="D61" s="4">
        <v>810</v>
      </c>
      <c r="E61" s="4">
        <v>43</v>
      </c>
      <c r="F61" s="4">
        <v>1618705</v>
      </c>
      <c r="G61" s="4">
        <f>(C61+J$26)*(D61+K$26)*(E61+L$22)-F61</f>
        <v>38173775</v>
      </c>
      <c r="H61" s="8">
        <f>D12</f>
        <v>500</v>
      </c>
      <c r="I61" s="8">
        <f>E12</f>
        <v>2.5</v>
      </c>
      <c r="J61" s="4">
        <f>F12</f>
        <v>2</v>
      </c>
      <c r="K61" s="4">
        <f>H61*I61*J61</f>
        <v>2500</v>
      </c>
      <c r="L61" s="8">
        <f>G12</f>
        <v>500</v>
      </c>
      <c r="M61" s="8">
        <f>H12</f>
        <v>0.5</v>
      </c>
      <c r="N61" s="8">
        <f>I12</f>
        <v>2.5</v>
      </c>
      <c r="O61" s="4">
        <f>L61*M61*N61</f>
        <v>625</v>
      </c>
      <c r="P61" s="11">
        <f>(G61*(C$13/100)/K61+G61*(C$14/100)/O61)/60</f>
        <v>407.18693333333334</v>
      </c>
      <c r="Q61" s="11">
        <f>P61*100/C$16</f>
        <v>678.64488888888889</v>
      </c>
      <c r="R61" s="4">
        <f>((Q61*E$24*C$43/100)+(Q61*D$24*C$44/100)+(Q61*C$24*C$45/100))*$C$17</f>
        <v>882238.35555555555</v>
      </c>
      <c r="S61" s="16">
        <f>(C61+J$26)*(D61+K$26)*(E61+L$22)*10^-9*D37*C37</f>
        <v>1098869.3352000001</v>
      </c>
      <c r="T61" s="11">
        <f>R61+S61</f>
        <v>1981107.6907555556</v>
      </c>
    </row>
    <row r="62" spans="1:26" x14ac:dyDescent="0.25">
      <c r="F62" s="4"/>
      <c r="G62" s="4"/>
      <c r="H62" s="8"/>
      <c r="K62" s="4"/>
      <c r="O62" s="4"/>
      <c r="P62" s="11"/>
      <c r="Q62" s="11"/>
      <c r="R62" s="4"/>
      <c r="S62" s="16"/>
    </row>
    <row r="63" spans="1:26" ht="30" x14ac:dyDescent="0.25">
      <c r="F63" s="4"/>
      <c r="G63" s="4"/>
      <c r="H63" s="8"/>
      <c r="K63" s="4"/>
      <c r="O63" s="4"/>
      <c r="P63" s="11"/>
      <c r="Q63" s="11"/>
      <c r="R63" s="4"/>
      <c r="S63" s="16"/>
      <c r="X63" s="40" t="s">
        <v>131</v>
      </c>
      <c r="Y63" t="s">
        <v>132</v>
      </c>
      <c r="Z63" t="s">
        <v>133</v>
      </c>
    </row>
    <row r="77" spans="1:20" x14ac:dyDescent="0.25">
      <c r="E77" s="1" t="s">
        <v>128</v>
      </c>
    </row>
    <row r="78" spans="1:20" x14ac:dyDescent="0.25">
      <c r="A78" s="42" t="s">
        <v>68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19" t="s">
        <v>32</v>
      </c>
      <c r="T78" s="18" t="s">
        <v>69</v>
      </c>
    </row>
    <row r="79" spans="1:20" ht="57" x14ac:dyDescent="0.25">
      <c r="A79" s="5" t="s">
        <v>8</v>
      </c>
      <c r="B79" s="5" t="s">
        <v>0</v>
      </c>
      <c r="C79" s="5" t="s">
        <v>21</v>
      </c>
      <c r="D79" s="5" t="s">
        <v>61</v>
      </c>
      <c r="E79" s="5" t="s">
        <v>62</v>
      </c>
      <c r="F79" s="5" t="s">
        <v>63</v>
      </c>
      <c r="G79" s="5" t="s">
        <v>24</v>
      </c>
      <c r="H79" s="6" t="s">
        <v>45</v>
      </c>
      <c r="I79" s="6" t="s">
        <v>46</v>
      </c>
      <c r="J79" s="6" t="s">
        <v>47</v>
      </c>
      <c r="K79" s="6" t="s">
        <v>9</v>
      </c>
      <c r="L79" s="7" t="s">
        <v>45</v>
      </c>
      <c r="M79" s="7" t="s">
        <v>46</v>
      </c>
      <c r="N79" s="7" t="s">
        <v>47</v>
      </c>
      <c r="O79" s="7" t="s">
        <v>10</v>
      </c>
      <c r="P79" s="2" t="s">
        <v>64</v>
      </c>
      <c r="Q79" s="2" t="s">
        <v>5</v>
      </c>
      <c r="R79" s="2" t="s">
        <v>31</v>
      </c>
      <c r="S79" s="15" t="s">
        <v>32</v>
      </c>
      <c r="T79" s="2" t="s">
        <v>33</v>
      </c>
    </row>
    <row r="80" spans="1:20" x14ac:dyDescent="0.25">
      <c r="A80" s="4">
        <v>1</v>
      </c>
      <c r="B80" s="4" t="s">
        <v>7</v>
      </c>
      <c r="C80" s="4">
        <v>1010</v>
      </c>
      <c r="D80" s="4">
        <v>346</v>
      </c>
      <c r="E80" s="4">
        <v>63</v>
      </c>
      <c r="F80" s="41">
        <v>2351851</v>
      </c>
      <c r="G80" s="4">
        <f>(C80+J$26)*(D80+K$25)*(E80+L$22)-F80</f>
        <v>27538229</v>
      </c>
      <c r="H80" s="4">
        <v>1000</v>
      </c>
      <c r="I80" s="4">
        <v>5</v>
      </c>
      <c r="J80" s="4">
        <v>2</v>
      </c>
      <c r="K80" s="4">
        <f>H80*I80*J80</f>
        <v>10000</v>
      </c>
      <c r="L80" s="4">
        <v>1000</v>
      </c>
      <c r="M80" s="4">
        <f>H$8</f>
        <v>1</v>
      </c>
      <c r="N80" s="4">
        <v>2.5</v>
      </c>
      <c r="O80" s="4">
        <f>L80*M80*N80</f>
        <v>2500</v>
      </c>
      <c r="P80" s="11">
        <f>(G80*(C$13/100)/K80+G80*(C$14/100)/O80)/60</f>
        <v>73.435277333333332</v>
      </c>
      <c r="Q80" s="11">
        <f>P80*100/C$16</f>
        <v>122.39212888888889</v>
      </c>
      <c r="R80" s="4">
        <f>((Q80*E$24*C$43/100)+(Q80*D$24*C$44/100)+(Q80*C$24*C$45/100))*$C$17</f>
        <v>159109.76755555556</v>
      </c>
      <c r="S80" s="16">
        <f>(C80+J$26)*(D80+K$26)*(E80+L$22)*10^-9*D$36*C$36</f>
        <v>159096.44208000001</v>
      </c>
      <c r="T80" s="11">
        <f>R80+S80</f>
        <v>318206.20963555557</v>
      </c>
    </row>
    <row r="81" spans="6:17" x14ac:dyDescent="0.25">
      <c r="F81" s="43" t="s">
        <v>135</v>
      </c>
      <c r="H81">
        <v>800</v>
      </c>
      <c r="I81">
        <v>3</v>
      </c>
      <c r="J81">
        <v>2</v>
      </c>
      <c r="K81" s="4">
        <f>H81*I81*J81</f>
        <v>4800</v>
      </c>
      <c r="L81">
        <v>800</v>
      </c>
      <c r="M81">
        <v>0.5</v>
      </c>
      <c r="N81">
        <v>1</v>
      </c>
      <c r="O81" s="4">
        <f>L81*M81*N81</f>
        <v>400</v>
      </c>
    </row>
    <row r="82" spans="6:17" ht="45" x14ac:dyDescent="0.25">
      <c r="F82" s="44"/>
      <c r="G82" t="s">
        <v>136</v>
      </c>
      <c r="H82" t="s">
        <v>144</v>
      </c>
      <c r="I82" t="s">
        <v>143</v>
      </c>
      <c r="J82" s="40" t="s">
        <v>138</v>
      </c>
      <c r="K82" s="1" t="s">
        <v>139</v>
      </c>
      <c r="L82" s="44" t="s">
        <v>137</v>
      </c>
      <c r="M82" s="44"/>
      <c r="N82" s="40" t="s">
        <v>134</v>
      </c>
      <c r="O82" s="40" t="s">
        <v>140</v>
      </c>
      <c r="P82" t="s">
        <v>141</v>
      </c>
      <c r="Q82" t="s">
        <v>142</v>
      </c>
    </row>
    <row r="83" spans="6:17" x14ac:dyDescent="0.25">
      <c r="F83" s="44"/>
      <c r="G83">
        <f>G80*C13/100</f>
        <v>22030583.199999999</v>
      </c>
      <c r="H83">
        <v>33</v>
      </c>
      <c r="I83">
        <f>G83/(H83*60)</f>
        <v>11126.557171717172</v>
      </c>
      <c r="J83">
        <f>G80*C14/100</f>
        <v>5507645.7999999998</v>
      </c>
      <c r="K83">
        <v>40</v>
      </c>
      <c r="L83" s="44">
        <f>J83/(K83*60)</f>
        <v>2294.8524166666666</v>
      </c>
      <c r="M83" s="44"/>
      <c r="N83">
        <v>49</v>
      </c>
      <c r="O83">
        <f>(H83+K83)/(H83+K83+N83)</f>
        <v>0.59836065573770492</v>
      </c>
      <c r="P83">
        <f>56/(9+33+40)</f>
        <v>0.68292682926829273</v>
      </c>
      <c r="Q83">
        <f>26/(9+33+40)</f>
        <v>0.31707317073170732</v>
      </c>
    </row>
    <row r="104" spans="1:20" x14ac:dyDescent="0.25">
      <c r="E104" s="1" t="s">
        <v>129</v>
      </c>
    </row>
    <row r="107" spans="1:20" x14ac:dyDescent="0.25">
      <c r="A107" s="42" t="s">
        <v>68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19" t="s">
        <v>32</v>
      </c>
      <c r="T107" s="18" t="s">
        <v>69</v>
      </c>
    </row>
    <row r="108" spans="1:20" ht="57" x14ac:dyDescent="0.25">
      <c r="A108" s="5" t="s">
        <v>8</v>
      </c>
      <c r="B108" s="5" t="s">
        <v>0</v>
      </c>
      <c r="C108" s="5" t="s">
        <v>21</v>
      </c>
      <c r="D108" s="5" t="s">
        <v>61</v>
      </c>
      <c r="E108" s="5" t="s">
        <v>62</v>
      </c>
      <c r="F108" s="5" t="s">
        <v>63</v>
      </c>
      <c r="G108" s="5" t="s">
        <v>24</v>
      </c>
      <c r="H108" s="6" t="s">
        <v>45</v>
      </c>
      <c r="I108" s="6" t="s">
        <v>46</v>
      </c>
      <c r="J108" s="6" t="s">
        <v>47</v>
      </c>
      <c r="K108" s="6" t="s">
        <v>9</v>
      </c>
      <c r="L108" s="7" t="s">
        <v>45</v>
      </c>
      <c r="M108" s="7" t="s">
        <v>46</v>
      </c>
      <c r="N108" s="7" t="s">
        <v>47</v>
      </c>
      <c r="O108" s="7" t="s">
        <v>10</v>
      </c>
      <c r="P108" s="2" t="s">
        <v>64</v>
      </c>
      <c r="Q108" s="2" t="s">
        <v>5</v>
      </c>
      <c r="R108" s="2" t="s">
        <v>31</v>
      </c>
      <c r="S108" s="15" t="s">
        <v>32</v>
      </c>
      <c r="T108" s="2" t="s">
        <v>33</v>
      </c>
    </row>
    <row r="109" spans="1:20" x14ac:dyDescent="0.25">
      <c r="A109" s="4">
        <v>1</v>
      </c>
      <c r="B109" s="4" t="s">
        <v>7</v>
      </c>
      <c r="C109" s="4">
        <v>1790</v>
      </c>
      <c r="D109" s="4">
        <v>133</v>
      </c>
      <c r="E109" s="4">
        <v>88</v>
      </c>
      <c r="F109" s="41">
        <f>3.39/(2700*10^-9)</f>
        <v>1255555.5555555555</v>
      </c>
      <c r="G109" s="4">
        <f>(C109+J$26)*(D109+K$25)*(E109+L$22)-F109</f>
        <v>30910354.444444444</v>
      </c>
      <c r="H109" s="4">
        <v>1000</v>
      </c>
      <c r="I109" s="4">
        <v>5</v>
      </c>
      <c r="J109" s="4">
        <v>2</v>
      </c>
      <c r="K109" s="4">
        <f>H109*I109*J109</f>
        <v>10000</v>
      </c>
      <c r="L109" s="4">
        <v>1000</v>
      </c>
      <c r="M109" s="4">
        <f>H$8</f>
        <v>1</v>
      </c>
      <c r="N109" s="4">
        <v>2.5</v>
      </c>
      <c r="O109" s="4">
        <f>L109*M109*N109</f>
        <v>2500</v>
      </c>
      <c r="P109" s="11">
        <f>(G109*(C$13/100)/K109+G109*(C$14/100)/O109)/60</f>
        <v>82.42761185185185</v>
      </c>
      <c r="Q109" s="11">
        <f>P109*100/C$16</f>
        <v>137.37935308641974</v>
      </c>
      <c r="R109" s="4">
        <f>((Q109*E$24*C$43/100)+(Q109*D$24*C$44/100)+(Q109*C$24*C$45/100))*C17</f>
        <v>178593.15901234566</v>
      </c>
      <c r="S109" s="16">
        <f>(C109+J$26)*(D109+K$26)*(E109+L$22)*10^-9*D85*C85</f>
        <v>0</v>
      </c>
      <c r="T109" s="11">
        <f>R109+S109</f>
        <v>178593.15901234566</v>
      </c>
    </row>
  </sheetData>
  <mergeCells count="16">
    <mergeCell ref="A107:R107"/>
    <mergeCell ref="F81:F83"/>
    <mergeCell ref="L82:M82"/>
    <mergeCell ref="L83:M83"/>
    <mergeCell ref="B1:I2"/>
    <mergeCell ref="B3:I3"/>
    <mergeCell ref="D4:F4"/>
    <mergeCell ref="G4:I4"/>
    <mergeCell ref="B35:C35"/>
    <mergeCell ref="G20:I20"/>
    <mergeCell ref="A78:R78"/>
    <mergeCell ref="A58:R58"/>
    <mergeCell ref="A56:T57"/>
    <mergeCell ref="B42:C42"/>
    <mergeCell ref="A20:E20"/>
    <mergeCell ref="J20:L20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"/>
  <sheetViews>
    <sheetView topLeftCell="F62" zoomScale="85" zoomScaleNormal="85" workbookViewId="0">
      <selection activeCell="B17" sqref="B17:C17"/>
    </sheetView>
  </sheetViews>
  <sheetFormatPr defaultRowHeight="15" x14ac:dyDescent="0.25"/>
  <cols>
    <col min="1" max="1" width="6.85546875" bestFit="1" customWidth="1"/>
    <col min="2" max="2" width="50.42578125" style="1" bestFit="1" customWidth="1"/>
    <col min="3" max="3" width="39.28515625" style="1" bestFit="1" customWidth="1"/>
    <col min="4" max="4" width="15.7109375" style="1" bestFit="1" customWidth="1"/>
    <col min="5" max="5" width="29.42578125" style="1" bestFit="1" customWidth="1"/>
    <col min="6" max="6" width="27.140625" style="1" bestFit="1" customWidth="1"/>
    <col min="7" max="7" width="65.28515625" style="1" bestFit="1" customWidth="1"/>
    <col min="8" max="8" width="9.85546875" style="1" customWidth="1"/>
    <col min="9" max="9" width="22.28515625" customWidth="1"/>
    <col min="10" max="10" width="14.42578125" customWidth="1"/>
    <col min="11" max="14" width="14.42578125" style="1" customWidth="1"/>
    <col min="15" max="15" width="23.28515625" style="1" bestFit="1" customWidth="1"/>
    <col min="16" max="16" width="13.7109375" customWidth="1"/>
    <col min="17" max="17" width="17.140625" customWidth="1"/>
    <col min="18" max="18" width="18.5703125" customWidth="1"/>
    <col min="19" max="19" width="15.5703125" bestFit="1" customWidth="1"/>
    <col min="20" max="20" width="14.85546875" customWidth="1"/>
  </cols>
  <sheetData>
    <row r="1" spans="2:15" s="1" customFormat="1" x14ac:dyDescent="0.25">
      <c r="B1" s="45" t="s">
        <v>34</v>
      </c>
      <c r="C1" s="45"/>
      <c r="D1" s="45"/>
      <c r="E1" s="45"/>
      <c r="F1" s="45"/>
      <c r="G1" s="45"/>
      <c r="H1" s="45"/>
      <c r="I1" s="45"/>
    </row>
    <row r="2" spans="2:15" x14ac:dyDescent="0.25">
      <c r="B2" s="45"/>
      <c r="C2" s="45"/>
      <c r="D2" s="45"/>
      <c r="E2" s="45"/>
      <c r="F2" s="45"/>
      <c r="G2" s="45"/>
      <c r="H2" s="45"/>
      <c r="I2" s="45"/>
      <c r="O2" s="3"/>
    </row>
    <row r="3" spans="2:15" x14ac:dyDescent="0.25">
      <c r="B3" s="46" t="s">
        <v>49</v>
      </c>
      <c r="C3" s="46"/>
      <c r="D3" s="46"/>
      <c r="E3" s="46"/>
      <c r="F3" s="46"/>
      <c r="G3" s="46"/>
      <c r="H3" s="46"/>
      <c r="I3" s="46"/>
    </row>
    <row r="4" spans="2:15" s="1" customFormat="1" x14ac:dyDescent="0.25">
      <c r="D4" s="47" t="s">
        <v>16</v>
      </c>
      <c r="E4" s="48"/>
      <c r="F4" s="49"/>
      <c r="G4" s="50" t="s">
        <v>17</v>
      </c>
      <c r="H4" s="50"/>
      <c r="I4" s="50"/>
    </row>
    <row r="5" spans="2:15" s="1" customFormat="1" ht="42.75" x14ac:dyDescent="0.25">
      <c r="B5" s="5" t="s">
        <v>0</v>
      </c>
      <c r="C5" s="5" t="s">
        <v>6</v>
      </c>
      <c r="D5" s="6" t="s">
        <v>3</v>
      </c>
      <c r="E5" s="6" t="s">
        <v>4</v>
      </c>
      <c r="F5" s="6" t="s">
        <v>20</v>
      </c>
      <c r="G5" s="7" t="s">
        <v>3</v>
      </c>
      <c r="H5" s="7" t="s">
        <v>4</v>
      </c>
      <c r="I5" s="7" t="s">
        <v>2</v>
      </c>
    </row>
    <row r="6" spans="2:15" s="1" customFormat="1" x14ac:dyDescent="0.25">
      <c r="B6" s="4" t="s">
        <v>7</v>
      </c>
      <c r="C6" s="4" t="s">
        <v>11</v>
      </c>
      <c r="D6" s="4">
        <v>2</v>
      </c>
      <c r="E6" s="4">
        <v>0.2</v>
      </c>
      <c r="F6" s="4">
        <v>200</v>
      </c>
      <c r="G6" s="4">
        <v>0.2</v>
      </c>
      <c r="H6" s="4">
        <v>0.05</v>
      </c>
      <c r="I6" s="4">
        <v>250</v>
      </c>
    </row>
    <row r="7" spans="2:15" s="1" customFormat="1" x14ac:dyDescent="0.25">
      <c r="B7" s="4"/>
      <c r="C7" s="4" t="s">
        <v>12</v>
      </c>
      <c r="D7" s="4">
        <v>2</v>
      </c>
      <c r="E7" s="4">
        <v>0.2</v>
      </c>
      <c r="F7" s="4">
        <v>200</v>
      </c>
      <c r="G7" s="4">
        <v>0.2</v>
      </c>
      <c r="H7" s="4">
        <v>0.05</v>
      </c>
      <c r="I7" s="4">
        <v>250</v>
      </c>
    </row>
    <row r="8" spans="2:15" s="1" customFormat="1" x14ac:dyDescent="0.25">
      <c r="B8" s="4"/>
      <c r="C8" s="8" t="s">
        <v>13</v>
      </c>
      <c r="D8" s="4">
        <v>2</v>
      </c>
      <c r="E8" s="4">
        <v>0.2</v>
      </c>
      <c r="F8" s="4">
        <v>200</v>
      </c>
      <c r="G8" s="4">
        <v>0.2</v>
      </c>
      <c r="H8" s="4">
        <v>0.05</v>
      </c>
      <c r="I8" s="4">
        <v>250</v>
      </c>
    </row>
    <row r="9" spans="2:15" s="1" customFormat="1" x14ac:dyDescent="0.25">
      <c r="B9" s="4"/>
      <c r="C9" s="4"/>
      <c r="D9" s="4"/>
      <c r="E9" s="4"/>
      <c r="F9" s="4"/>
      <c r="G9" s="4"/>
      <c r="H9" s="4"/>
      <c r="I9" s="4"/>
    </row>
    <row r="10" spans="2:15" s="1" customFormat="1" x14ac:dyDescent="0.25">
      <c r="B10" s="4" t="s">
        <v>14</v>
      </c>
      <c r="C10" s="4" t="s">
        <v>11</v>
      </c>
      <c r="D10" s="4">
        <v>1</v>
      </c>
      <c r="E10" s="4">
        <v>0.2</v>
      </c>
      <c r="F10" s="4">
        <v>100</v>
      </c>
      <c r="G10" s="4">
        <v>0.1</v>
      </c>
      <c r="H10" s="4">
        <v>0.05</v>
      </c>
      <c r="I10" s="4">
        <v>125</v>
      </c>
    </row>
    <row r="11" spans="2:15" s="1" customFormat="1" x14ac:dyDescent="0.25">
      <c r="B11" s="4"/>
      <c r="C11" s="4" t="s">
        <v>12</v>
      </c>
      <c r="D11" s="4">
        <v>1</v>
      </c>
      <c r="E11" s="8">
        <v>0.2</v>
      </c>
      <c r="F11" s="4">
        <v>100</v>
      </c>
      <c r="G11" s="4">
        <v>0.1</v>
      </c>
      <c r="H11" s="8">
        <v>0.05</v>
      </c>
      <c r="I11" s="4">
        <v>125</v>
      </c>
    </row>
    <row r="12" spans="2:15" s="1" customFormat="1" x14ac:dyDescent="0.25">
      <c r="B12" s="4"/>
      <c r="C12" s="8" t="s">
        <v>13</v>
      </c>
      <c r="D12" s="4">
        <v>1</v>
      </c>
      <c r="E12" s="4">
        <v>0.2</v>
      </c>
      <c r="F12" s="4">
        <v>100</v>
      </c>
      <c r="G12" s="4">
        <v>0.1</v>
      </c>
      <c r="H12" s="4">
        <v>0.05</v>
      </c>
      <c r="I12" s="4">
        <v>125</v>
      </c>
    </row>
    <row r="13" spans="2:15" s="1" customFormat="1" x14ac:dyDescent="0.25">
      <c r="B13" s="37" t="s">
        <v>25</v>
      </c>
      <c r="C13" s="8">
        <v>80</v>
      </c>
      <c r="D13" s="10"/>
      <c r="E13" s="10"/>
      <c r="F13" s="10"/>
      <c r="G13" s="10"/>
      <c r="H13" s="10"/>
      <c r="I13" s="9"/>
      <c r="J13" s="10"/>
      <c r="K13" s="10"/>
      <c r="L13" s="10"/>
    </row>
    <row r="14" spans="2:15" s="1" customFormat="1" x14ac:dyDescent="0.25">
      <c r="B14" s="37" t="s">
        <v>26</v>
      </c>
      <c r="C14" s="4">
        <f>100-C13</f>
        <v>20</v>
      </c>
    </row>
    <row r="15" spans="2:15" s="1" customFormat="1" x14ac:dyDescent="0.25">
      <c r="B15" s="9"/>
      <c r="C15" s="9"/>
    </row>
    <row r="16" spans="2:15" s="1" customFormat="1" x14ac:dyDescent="0.25">
      <c r="B16" s="37" t="s">
        <v>48</v>
      </c>
      <c r="C16" s="4">
        <v>60</v>
      </c>
      <c r="E16" s="37" t="s">
        <v>36</v>
      </c>
      <c r="F16" s="4">
        <v>10</v>
      </c>
    </row>
    <row r="17" spans="1:7" s="1" customFormat="1" x14ac:dyDescent="0.25">
      <c r="B17" s="37" t="s">
        <v>151</v>
      </c>
      <c r="C17" s="8">
        <v>1</v>
      </c>
      <c r="E17" s="37" t="s">
        <v>37</v>
      </c>
      <c r="F17" s="4">
        <v>50</v>
      </c>
    </row>
    <row r="18" spans="1:7" s="1" customFormat="1" x14ac:dyDescent="0.25">
      <c r="B18" s="9"/>
      <c r="C18" s="9"/>
    </row>
    <row r="19" spans="1:7" s="1" customFormat="1" x14ac:dyDescent="0.25">
      <c r="B19" s="51" t="s">
        <v>28</v>
      </c>
      <c r="C19" s="51"/>
      <c r="D19" s="37" t="s">
        <v>30</v>
      </c>
    </row>
    <row r="20" spans="1:7" s="1" customFormat="1" x14ac:dyDescent="0.25">
      <c r="B20" s="8" t="s">
        <v>29</v>
      </c>
      <c r="C20" s="4">
        <v>1700</v>
      </c>
      <c r="D20" s="4">
        <v>2780</v>
      </c>
    </row>
    <row r="21" spans="1:7" s="1" customFormat="1" x14ac:dyDescent="0.25">
      <c r="B21" s="8" t="s">
        <v>14</v>
      </c>
      <c r="C21" s="4">
        <v>3500</v>
      </c>
      <c r="D21" s="4">
        <v>7890</v>
      </c>
    </row>
    <row r="22" spans="1:7" s="1" customFormat="1" x14ac:dyDescent="0.25">
      <c r="B22" s="10"/>
      <c r="C22" s="9"/>
      <c r="D22" s="9"/>
    </row>
    <row r="23" spans="1:7" s="1" customFormat="1" x14ac:dyDescent="0.25">
      <c r="B23" s="61" t="s">
        <v>27</v>
      </c>
      <c r="C23" s="61"/>
      <c r="D23" s="61"/>
      <c r="E23" s="61"/>
      <c r="F23" s="61"/>
      <c r="G23" s="61"/>
    </row>
    <row r="24" spans="1:7" s="1" customFormat="1" x14ac:dyDescent="0.25">
      <c r="B24" s="4"/>
      <c r="C24" s="39" t="s">
        <v>121</v>
      </c>
      <c r="D24" s="5" t="s">
        <v>110</v>
      </c>
      <c r="E24" s="5" t="s">
        <v>111</v>
      </c>
      <c r="F24" s="5" t="s">
        <v>112</v>
      </c>
      <c r="G24" s="34" t="s">
        <v>113</v>
      </c>
    </row>
    <row r="25" spans="1:7" s="1" customFormat="1" x14ac:dyDescent="0.25">
      <c r="B25" s="63" t="s">
        <v>29</v>
      </c>
      <c r="C25" s="4" t="s">
        <v>122</v>
      </c>
      <c r="D25" s="4">
        <v>1600</v>
      </c>
      <c r="E25" s="4">
        <v>1600</v>
      </c>
      <c r="F25" s="4">
        <v>1600</v>
      </c>
      <c r="G25" s="4">
        <v>1600</v>
      </c>
    </row>
    <row r="26" spans="1:7" s="1" customFormat="1" x14ac:dyDescent="0.25">
      <c r="B26" s="64"/>
      <c r="C26" s="4" t="s">
        <v>123</v>
      </c>
      <c r="D26" s="8">
        <v>2000</v>
      </c>
      <c r="E26" s="8">
        <v>2000</v>
      </c>
      <c r="F26" s="8">
        <v>2000</v>
      </c>
      <c r="G26" s="8">
        <v>2000</v>
      </c>
    </row>
    <row r="27" spans="1:7" s="1" customFormat="1" x14ac:dyDescent="0.25">
      <c r="B27" s="65"/>
      <c r="C27" s="4" t="s">
        <v>124</v>
      </c>
      <c r="D27" s="8">
        <v>2400</v>
      </c>
      <c r="E27" s="8">
        <v>2400</v>
      </c>
      <c r="F27" s="8">
        <v>2400</v>
      </c>
      <c r="G27" s="8">
        <v>2400</v>
      </c>
    </row>
    <row r="28" spans="1:7" s="1" customFormat="1" x14ac:dyDescent="0.25">
      <c r="B28" s="66" t="s">
        <v>14</v>
      </c>
      <c r="C28" s="4" t="s">
        <v>122</v>
      </c>
      <c r="D28" s="4">
        <v>1600</v>
      </c>
      <c r="E28" s="4">
        <v>1600</v>
      </c>
      <c r="F28" s="4">
        <v>1600</v>
      </c>
      <c r="G28" s="4">
        <v>1600</v>
      </c>
    </row>
    <row r="29" spans="1:7" s="1" customFormat="1" x14ac:dyDescent="0.25">
      <c r="B29" s="66"/>
      <c r="C29" s="4" t="s">
        <v>123</v>
      </c>
      <c r="D29" s="8">
        <v>2000</v>
      </c>
      <c r="E29" s="8">
        <v>2000</v>
      </c>
      <c r="F29" s="8">
        <v>2000</v>
      </c>
      <c r="G29" s="8">
        <v>2000</v>
      </c>
    </row>
    <row r="30" spans="1:7" s="1" customFormat="1" x14ac:dyDescent="0.25">
      <c r="A30" s="9"/>
      <c r="B30" s="66"/>
      <c r="C30" s="4" t="s">
        <v>124</v>
      </c>
      <c r="D30" s="8">
        <v>2400</v>
      </c>
      <c r="E30" s="8">
        <v>2400</v>
      </c>
      <c r="F30" s="8">
        <v>2400</v>
      </c>
      <c r="G30" s="8">
        <v>2400</v>
      </c>
    </row>
    <row r="31" spans="1:7" s="1" customFormat="1" x14ac:dyDescent="0.25">
      <c r="A31" s="9"/>
      <c r="C31" s="9"/>
    </row>
    <row r="32" spans="1:7" s="1" customFormat="1" x14ac:dyDescent="0.25">
      <c r="A32" s="9"/>
      <c r="C32" s="9"/>
    </row>
    <row r="33" spans="2:7" x14ac:dyDescent="0.25">
      <c r="B33" s="35" t="s">
        <v>50</v>
      </c>
      <c r="G33" s="36" t="s">
        <v>35</v>
      </c>
    </row>
    <row r="34" spans="2:7" x14ac:dyDescent="0.25">
      <c r="B34" s="4" t="s">
        <v>15</v>
      </c>
      <c r="G34" s="4" t="s">
        <v>18</v>
      </c>
    </row>
    <row r="35" spans="2:7" s="1" customFormat="1" x14ac:dyDescent="0.25">
      <c r="B35" s="4" t="s">
        <v>52</v>
      </c>
      <c r="G35" s="4" t="s">
        <v>19</v>
      </c>
    </row>
    <row r="36" spans="2:7" s="1" customFormat="1" x14ac:dyDescent="0.25">
      <c r="B36" s="4"/>
      <c r="G36" s="4" t="s">
        <v>98</v>
      </c>
    </row>
    <row r="37" spans="2:7" s="1" customFormat="1" x14ac:dyDescent="0.25">
      <c r="B37" s="17"/>
      <c r="G37" s="4" t="s">
        <v>39</v>
      </c>
    </row>
    <row r="38" spans="2:7" s="1" customFormat="1" x14ac:dyDescent="0.25">
      <c r="B38" s="32" t="s">
        <v>114</v>
      </c>
      <c r="C38" s="4"/>
      <c r="G38" s="4"/>
    </row>
    <row r="39" spans="2:7" x14ac:dyDescent="0.25">
      <c r="B39" s="4" t="s">
        <v>110</v>
      </c>
      <c r="C39" s="4">
        <v>100</v>
      </c>
      <c r="G39" s="4" t="s">
        <v>40</v>
      </c>
    </row>
    <row r="40" spans="2:7" s="1" customFormat="1" x14ac:dyDescent="0.25">
      <c r="B40" s="8" t="s">
        <v>111</v>
      </c>
      <c r="C40" s="4">
        <v>0</v>
      </c>
      <c r="G40" s="9"/>
    </row>
    <row r="41" spans="2:7" s="1" customFormat="1" x14ac:dyDescent="0.25">
      <c r="B41" s="8" t="s">
        <v>112</v>
      </c>
      <c r="C41" s="4">
        <v>0</v>
      </c>
      <c r="G41" s="9"/>
    </row>
    <row r="42" spans="2:7" s="1" customFormat="1" x14ac:dyDescent="0.25">
      <c r="B42" s="8" t="s">
        <v>113</v>
      </c>
      <c r="C42" s="4">
        <v>0</v>
      </c>
      <c r="G42" s="9"/>
    </row>
    <row r="43" spans="2:7" s="1" customFormat="1" x14ac:dyDescent="0.25">
      <c r="B43" s="8"/>
      <c r="C43" s="9"/>
      <c r="G43" s="9"/>
    </row>
    <row r="44" spans="2:7" s="1" customFormat="1" x14ac:dyDescent="0.25">
      <c r="B44" s="8"/>
      <c r="C44" s="9"/>
      <c r="E44" s="1" t="s">
        <v>109</v>
      </c>
      <c r="G44" s="9"/>
    </row>
    <row r="45" spans="2:7" s="1" customFormat="1" x14ac:dyDescent="0.25">
      <c r="B45" s="8"/>
      <c r="C45" s="9"/>
      <c r="G45" s="9"/>
    </row>
    <row r="46" spans="2:7" s="1" customFormat="1" ht="30" x14ac:dyDescent="0.25">
      <c r="B46" s="38" t="s">
        <v>120</v>
      </c>
      <c r="G46" s="9"/>
    </row>
    <row r="47" spans="2:7" s="1" customFormat="1" x14ac:dyDescent="0.25">
      <c r="B47" s="39" t="s">
        <v>121</v>
      </c>
      <c r="G47" s="9"/>
    </row>
    <row r="48" spans="2:7" s="1" customFormat="1" x14ac:dyDescent="0.25">
      <c r="B48" s="4" t="s">
        <v>122</v>
      </c>
      <c r="G48" s="9"/>
    </row>
    <row r="49" spans="1:20" s="1" customFormat="1" x14ac:dyDescent="0.25">
      <c r="B49" s="4" t="s">
        <v>123</v>
      </c>
      <c r="G49" s="9"/>
    </row>
    <row r="50" spans="1:20" s="1" customFormat="1" x14ac:dyDescent="0.25">
      <c r="B50" s="4" t="s">
        <v>124</v>
      </c>
      <c r="G50" s="9"/>
    </row>
    <row r="51" spans="1:20" s="1" customFormat="1" x14ac:dyDescent="0.25"/>
    <row r="52" spans="1:20" s="1" customFormat="1" x14ac:dyDescent="0.25">
      <c r="A52" s="62" t="s">
        <v>66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 s="1" customForma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</row>
    <row r="54" spans="1:20" s="1" customFormat="1" x14ac:dyDescent="0.25"/>
    <row r="55" spans="1:20" s="1" customFormat="1" x14ac:dyDescent="0.25">
      <c r="A55" s="58" t="s">
        <v>65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60"/>
      <c r="R55" s="19" t="s">
        <v>32</v>
      </c>
      <c r="S55" s="18" t="s">
        <v>67</v>
      </c>
    </row>
    <row r="56" spans="1:20" ht="89.25" customHeight="1" x14ac:dyDescent="0.25">
      <c r="A56" s="5" t="s">
        <v>8</v>
      </c>
      <c r="B56" s="5" t="s">
        <v>0</v>
      </c>
      <c r="C56" s="5" t="s">
        <v>22</v>
      </c>
      <c r="D56" s="5" t="s">
        <v>21</v>
      </c>
      <c r="E56" s="5" t="s">
        <v>23</v>
      </c>
      <c r="F56" s="5" t="s">
        <v>24</v>
      </c>
      <c r="G56" s="6" t="s">
        <v>3</v>
      </c>
      <c r="H56" s="6" t="s">
        <v>4</v>
      </c>
      <c r="I56" s="6" t="s">
        <v>2</v>
      </c>
      <c r="J56" s="6" t="s">
        <v>9</v>
      </c>
      <c r="K56" s="7" t="s">
        <v>3</v>
      </c>
      <c r="L56" s="7" t="s">
        <v>4</v>
      </c>
      <c r="M56" s="7" t="s">
        <v>20</v>
      </c>
      <c r="N56" s="7" t="s">
        <v>10</v>
      </c>
      <c r="O56" s="2" t="s">
        <v>1</v>
      </c>
      <c r="P56" s="2" t="s">
        <v>5</v>
      </c>
      <c r="Q56" s="2" t="s">
        <v>31</v>
      </c>
      <c r="R56" s="15" t="s">
        <v>32</v>
      </c>
      <c r="S56" s="2" t="s">
        <v>33</v>
      </c>
    </row>
    <row r="57" spans="1:20" x14ac:dyDescent="0.25">
      <c r="A57" s="4">
        <v>1</v>
      </c>
      <c r="B57" s="4" t="s">
        <v>7</v>
      </c>
      <c r="C57" s="4">
        <v>67</v>
      </c>
      <c r="D57" s="4">
        <v>642</v>
      </c>
      <c r="E57" s="4">
        <v>354983</v>
      </c>
      <c r="F57" s="4">
        <f>(PI()*(C57+F$16)^2*(D57+F$17)/4)-E57</f>
        <v>2867401.991862162</v>
      </c>
      <c r="G57" s="4">
        <v>2</v>
      </c>
      <c r="H57" s="4">
        <v>0.2</v>
      </c>
      <c r="I57" s="4">
        <v>200</v>
      </c>
      <c r="J57" s="4">
        <f>G57*H57*I57*1000</f>
        <v>80000</v>
      </c>
      <c r="K57" s="4">
        <f>G7</f>
        <v>0.2</v>
      </c>
      <c r="L57" s="4">
        <f>H7</f>
        <v>0.05</v>
      </c>
      <c r="M57" s="4">
        <f>I7</f>
        <v>250</v>
      </c>
      <c r="N57" s="4">
        <f>K57*L57*M57*1000</f>
        <v>2500.0000000000005</v>
      </c>
      <c r="O57" s="11">
        <f>(F57*(C$13/100)/J57+F57*(C$14/100)/N57)/60</f>
        <v>4.301102987793243</v>
      </c>
      <c r="P57" s="11">
        <f>O57*100/C$16</f>
        <v>7.1685049796554052</v>
      </c>
      <c r="Q57" s="4">
        <f>P57*(C$39/100)*D$26+P57*(C$40/100)*E$26+P57*(C$41/100)*F$26+P57*(C$42/100)*G$26</f>
        <v>14337.00995931081</v>
      </c>
      <c r="R57" s="16">
        <f>(PI()*(C57+F$16)^2*(D57+F$17)/4)*D20*10^-9*C20</f>
        <v>15228.991471540578</v>
      </c>
      <c r="S57" s="11">
        <f>Q57+R57</f>
        <v>29566.001430851386</v>
      </c>
    </row>
    <row r="58" spans="1:20" x14ac:dyDescent="0.25">
      <c r="A58" s="4">
        <v>2</v>
      </c>
      <c r="B58" s="4" t="s">
        <v>14</v>
      </c>
      <c r="C58" s="4">
        <v>67</v>
      </c>
      <c r="D58" s="4">
        <v>642</v>
      </c>
      <c r="E58" s="4">
        <v>354983</v>
      </c>
      <c r="F58" s="4">
        <f>(PI()*(C58+F$16)^2*(D58+F$17)/4)-E58</f>
        <v>2867401.991862162</v>
      </c>
      <c r="G58" s="4">
        <f>D11</f>
        <v>1</v>
      </c>
      <c r="H58" s="4">
        <f>E11</f>
        <v>0.2</v>
      </c>
      <c r="I58" s="4">
        <f>F11</f>
        <v>100</v>
      </c>
      <c r="J58" s="4">
        <f>G58*H58*I58*1000</f>
        <v>20000</v>
      </c>
      <c r="K58" s="4">
        <f>G11</f>
        <v>0.1</v>
      </c>
      <c r="L58" s="4">
        <f>H11</f>
        <v>0.05</v>
      </c>
      <c r="M58" s="4">
        <f>I11</f>
        <v>125</v>
      </c>
      <c r="N58" s="4">
        <f>K58*L58*M58*1000</f>
        <v>625.00000000000011</v>
      </c>
      <c r="O58" s="11">
        <f>(F58*(C$13/100)/J58+F58*(C$14/100)/N58)/60</f>
        <v>17.204411951172972</v>
      </c>
      <c r="P58" s="11">
        <f>O58*100/C$16</f>
        <v>28.674019918621621</v>
      </c>
      <c r="Q58" s="4">
        <f>P58*(C$39/100)*D$29+P58*(C$40/100)*E$29+P58*(C$41/100)*F$29+P58*(C$42/100)*G$29</f>
        <v>57348.039837243239</v>
      </c>
      <c r="R58" s="16">
        <f>(PI()*(C58+F$16)^2*(D58+F$17)/4)*D21*10^-9*C21</f>
        <v>88986.161550273595</v>
      </c>
      <c r="S58" s="11">
        <f>Q58+R58</f>
        <v>146334.20138751683</v>
      </c>
    </row>
    <row r="61" spans="1:20" x14ac:dyDescent="0.25">
      <c r="B61" s="10"/>
    </row>
  </sheetData>
  <mergeCells count="10">
    <mergeCell ref="A55:Q55"/>
    <mergeCell ref="B23:G23"/>
    <mergeCell ref="B1:I2"/>
    <mergeCell ref="A52:T53"/>
    <mergeCell ref="G4:I4"/>
    <mergeCell ref="D4:F4"/>
    <mergeCell ref="B3:I3"/>
    <mergeCell ref="B19:C19"/>
    <mergeCell ref="B25:B27"/>
    <mergeCell ref="B28:B3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7"/>
  <sheetViews>
    <sheetView topLeftCell="A66" zoomScaleNormal="100" workbookViewId="0">
      <selection activeCell="J102" sqref="J102"/>
    </sheetView>
  </sheetViews>
  <sheetFormatPr defaultRowHeight="15" x14ac:dyDescent="0.25"/>
  <cols>
    <col min="1" max="1" width="6.5703125" style="1" customWidth="1"/>
    <col min="2" max="2" width="50.42578125" style="1" bestFit="1" customWidth="1"/>
    <col min="3" max="3" width="33.85546875" style="1" bestFit="1" customWidth="1"/>
    <col min="4" max="4" width="25.7109375" style="1" customWidth="1"/>
    <col min="5" max="5" width="24.5703125" style="1" bestFit="1" customWidth="1"/>
    <col min="6" max="6" width="27.5703125" style="1" bestFit="1" customWidth="1"/>
    <col min="7" max="7" width="70.7109375" style="1" bestFit="1" customWidth="1"/>
    <col min="8" max="8" width="34" style="1" bestFit="1" customWidth="1"/>
    <col min="9" max="11" width="9.140625" style="1"/>
    <col min="12" max="12" width="16" style="1" customWidth="1"/>
    <col min="13" max="13" width="29.5703125" style="1" customWidth="1"/>
    <col min="14" max="14" width="27.28515625" style="1" customWidth="1"/>
    <col min="15" max="15" width="9.140625" style="1"/>
    <col min="16" max="16" width="15.28515625" style="1" customWidth="1"/>
    <col min="17" max="19" width="9.140625" style="1"/>
    <col min="20" max="20" width="22.42578125" style="1" bestFit="1" customWidth="1"/>
    <col min="21" max="21" width="17.28515625" style="1" bestFit="1" customWidth="1"/>
    <col min="22" max="22" width="13.140625" style="1" bestFit="1" customWidth="1"/>
    <col min="23" max="16384" width="9.140625" style="1"/>
  </cols>
  <sheetData>
    <row r="1" spans="2:9" x14ac:dyDescent="0.25">
      <c r="B1" s="45" t="s">
        <v>87</v>
      </c>
      <c r="C1" s="45"/>
      <c r="D1" s="45"/>
      <c r="E1" s="45"/>
      <c r="F1" s="45"/>
      <c r="G1" s="45"/>
      <c r="H1" s="45"/>
      <c r="I1" s="45"/>
    </row>
    <row r="2" spans="2:9" x14ac:dyDescent="0.25">
      <c r="B2" s="45"/>
      <c r="C2" s="45"/>
      <c r="D2" s="45"/>
      <c r="E2" s="45"/>
      <c r="F2" s="45"/>
      <c r="G2" s="45"/>
      <c r="H2" s="45"/>
      <c r="I2" s="45"/>
    </row>
    <row r="3" spans="2:9" x14ac:dyDescent="0.25">
      <c r="B3" s="46" t="s">
        <v>49</v>
      </c>
      <c r="C3" s="46"/>
      <c r="D3" s="46"/>
      <c r="E3" s="46"/>
      <c r="F3" s="46"/>
      <c r="G3" s="46"/>
      <c r="H3" s="46"/>
      <c r="I3" s="46"/>
    </row>
    <row r="4" spans="2:9" x14ac:dyDescent="0.25">
      <c r="D4" s="47" t="s">
        <v>16</v>
      </c>
      <c r="E4" s="48"/>
      <c r="F4" s="49"/>
      <c r="G4" s="50" t="s">
        <v>17</v>
      </c>
      <c r="H4" s="50"/>
      <c r="I4" s="50"/>
    </row>
    <row r="5" spans="2:9" ht="42.75" x14ac:dyDescent="0.25">
      <c r="B5" s="5" t="s">
        <v>0</v>
      </c>
      <c r="C5" s="5" t="s">
        <v>43</v>
      </c>
      <c r="D5" s="6" t="s">
        <v>45</v>
      </c>
      <c r="E5" s="6" t="s">
        <v>46</v>
      </c>
      <c r="F5" s="6" t="s">
        <v>47</v>
      </c>
      <c r="G5" s="7" t="s">
        <v>45</v>
      </c>
      <c r="H5" s="7" t="s">
        <v>46</v>
      </c>
      <c r="I5" s="7" t="s">
        <v>47</v>
      </c>
    </row>
    <row r="6" spans="2:9" x14ac:dyDescent="0.25">
      <c r="B6" s="4" t="s">
        <v>7</v>
      </c>
      <c r="C6" s="4" t="s">
        <v>11</v>
      </c>
      <c r="D6" s="4">
        <v>1000</v>
      </c>
      <c r="E6" s="4">
        <v>5</v>
      </c>
      <c r="F6" s="4">
        <v>2</v>
      </c>
      <c r="G6" s="4">
        <v>1000</v>
      </c>
      <c r="H6" s="4">
        <v>1</v>
      </c>
      <c r="I6" s="4">
        <v>2.5</v>
      </c>
    </row>
    <row r="7" spans="2:9" x14ac:dyDescent="0.25">
      <c r="B7" s="4"/>
      <c r="C7" s="4" t="s">
        <v>12</v>
      </c>
      <c r="D7" s="4">
        <v>1000</v>
      </c>
      <c r="E7" s="4">
        <v>5</v>
      </c>
      <c r="F7" s="4">
        <v>2</v>
      </c>
      <c r="G7" s="4">
        <v>1000</v>
      </c>
      <c r="H7" s="4">
        <v>1</v>
      </c>
      <c r="I7" s="4">
        <v>2.5</v>
      </c>
    </row>
    <row r="8" spans="2:9" x14ac:dyDescent="0.25">
      <c r="B8" s="4"/>
      <c r="C8" s="8" t="s">
        <v>13</v>
      </c>
      <c r="D8" s="4">
        <v>1000</v>
      </c>
      <c r="E8" s="4">
        <v>5</v>
      </c>
      <c r="F8" s="4">
        <v>2</v>
      </c>
      <c r="G8" s="4">
        <v>1000</v>
      </c>
      <c r="H8" s="4">
        <v>1</v>
      </c>
      <c r="I8" s="4">
        <v>2.5</v>
      </c>
    </row>
    <row r="9" spans="2:9" x14ac:dyDescent="0.25">
      <c r="B9" s="4"/>
      <c r="C9" s="4"/>
      <c r="D9" s="4"/>
      <c r="E9" s="4"/>
      <c r="F9" s="4"/>
      <c r="G9" s="4"/>
      <c r="H9" s="4"/>
      <c r="I9" s="4"/>
    </row>
    <row r="10" spans="2:9" x14ac:dyDescent="0.25">
      <c r="B10" s="37" t="s">
        <v>25</v>
      </c>
      <c r="C10" s="8">
        <v>80</v>
      </c>
      <c r="D10" s="10"/>
      <c r="E10" s="10"/>
      <c r="F10" s="10"/>
      <c r="G10" s="10"/>
      <c r="H10" s="10"/>
      <c r="I10" s="9"/>
    </row>
    <row r="11" spans="2:9" x14ac:dyDescent="0.25">
      <c r="B11" s="37" t="s">
        <v>26</v>
      </c>
      <c r="C11" s="4">
        <f>100-C10</f>
        <v>20</v>
      </c>
    </row>
    <row r="12" spans="2:9" x14ac:dyDescent="0.25">
      <c r="B12" s="9"/>
      <c r="C12" s="9"/>
    </row>
    <row r="13" spans="2:9" x14ac:dyDescent="0.25">
      <c r="B13" s="37" t="s">
        <v>48</v>
      </c>
      <c r="C13" s="4">
        <v>60</v>
      </c>
    </row>
    <row r="14" spans="2:9" x14ac:dyDescent="0.25">
      <c r="B14" s="37" t="s">
        <v>151</v>
      </c>
      <c r="C14" s="8">
        <v>1</v>
      </c>
    </row>
    <row r="15" spans="2:9" x14ac:dyDescent="0.25">
      <c r="B15" s="10"/>
      <c r="C15" s="10"/>
    </row>
    <row r="16" spans="2:9" x14ac:dyDescent="0.25">
      <c r="B16" s="10"/>
      <c r="C16" s="10"/>
      <c r="E16" s="9"/>
      <c r="F16" s="9"/>
    </row>
    <row r="17" spans="1:14" x14ac:dyDescent="0.25">
      <c r="A17" s="69" t="s">
        <v>60</v>
      </c>
      <c r="B17" s="70"/>
      <c r="C17" s="71"/>
      <c r="E17" s="51" t="s">
        <v>101</v>
      </c>
      <c r="F17" s="51"/>
      <c r="G17" s="51"/>
      <c r="H17" s="51"/>
      <c r="I17" s="51"/>
      <c r="J17" s="51"/>
      <c r="L17" s="51" t="s">
        <v>102</v>
      </c>
      <c r="M17" s="51"/>
      <c r="N17" s="51"/>
    </row>
    <row r="18" spans="1:14" ht="63" x14ac:dyDescent="0.25">
      <c r="A18" s="4"/>
      <c r="B18" s="4"/>
      <c r="C18" s="8" t="s">
        <v>92</v>
      </c>
      <c r="E18" s="20" t="s">
        <v>71</v>
      </c>
      <c r="F18" s="21" t="s">
        <v>72</v>
      </c>
      <c r="G18" s="22" t="s">
        <v>73</v>
      </c>
      <c r="H18" s="22" t="s">
        <v>74</v>
      </c>
      <c r="I18" s="22" t="s">
        <v>75</v>
      </c>
      <c r="J18" s="22" t="s">
        <v>76</v>
      </c>
      <c r="L18" s="20" t="s">
        <v>71</v>
      </c>
      <c r="M18" s="20" t="s">
        <v>73</v>
      </c>
      <c r="N18" s="20" t="s">
        <v>103</v>
      </c>
    </row>
    <row r="19" spans="1:14" ht="15.75" x14ac:dyDescent="0.25">
      <c r="A19" s="4" t="s">
        <v>29</v>
      </c>
      <c r="B19" s="8" t="s">
        <v>116</v>
      </c>
      <c r="C19" s="4">
        <v>600</v>
      </c>
      <c r="E19" s="23">
        <v>1</v>
      </c>
      <c r="F19" s="23" t="s">
        <v>77</v>
      </c>
      <c r="G19" s="23" t="s">
        <v>78</v>
      </c>
      <c r="H19" s="24" t="s">
        <v>79</v>
      </c>
      <c r="I19" s="24">
        <v>40</v>
      </c>
      <c r="J19" s="24">
        <v>1500</v>
      </c>
      <c r="L19" s="26">
        <v>1</v>
      </c>
      <c r="M19" s="26" t="s">
        <v>78</v>
      </c>
      <c r="N19" s="26">
        <v>10</v>
      </c>
    </row>
    <row r="20" spans="1:14" ht="31.5" x14ac:dyDescent="0.25">
      <c r="A20" s="4"/>
      <c r="B20" s="8" t="s">
        <v>117</v>
      </c>
      <c r="C20" s="4">
        <v>800</v>
      </c>
      <c r="E20" s="23">
        <v>2</v>
      </c>
      <c r="F20" s="23" t="s">
        <v>86</v>
      </c>
      <c r="G20" s="23" t="s">
        <v>80</v>
      </c>
      <c r="H20" s="24" t="s">
        <v>79</v>
      </c>
      <c r="I20" s="24">
        <v>60</v>
      </c>
      <c r="J20" s="24">
        <v>1500</v>
      </c>
      <c r="L20" s="26">
        <v>2</v>
      </c>
      <c r="M20" s="26" t="s">
        <v>80</v>
      </c>
      <c r="N20" s="26">
        <v>10</v>
      </c>
    </row>
    <row r="21" spans="1:14" ht="15.75" x14ac:dyDescent="0.25">
      <c r="A21" s="4"/>
      <c r="B21" s="8" t="s">
        <v>118</v>
      </c>
      <c r="C21" s="4">
        <v>1000</v>
      </c>
      <c r="E21" s="23">
        <v>3</v>
      </c>
      <c r="F21" s="23" t="s">
        <v>81</v>
      </c>
      <c r="G21" s="23" t="s">
        <v>82</v>
      </c>
      <c r="H21" s="24" t="s">
        <v>83</v>
      </c>
      <c r="I21" s="24">
        <v>80</v>
      </c>
      <c r="J21" s="24">
        <v>1500</v>
      </c>
      <c r="L21" s="26">
        <v>3</v>
      </c>
      <c r="M21" s="26" t="s">
        <v>82</v>
      </c>
      <c r="N21" s="26">
        <v>20</v>
      </c>
    </row>
    <row r="22" spans="1:14" x14ac:dyDescent="0.25">
      <c r="A22" s="4"/>
      <c r="B22" s="8" t="s">
        <v>119</v>
      </c>
      <c r="C22" s="4">
        <v>1500</v>
      </c>
      <c r="F22" s="9"/>
    </row>
    <row r="23" spans="1:14" ht="15.75" thickBot="1" x14ac:dyDescent="0.3">
      <c r="A23" s="4"/>
      <c r="B23" s="8"/>
      <c r="C23" s="8"/>
      <c r="F23" s="9"/>
    </row>
    <row r="24" spans="1:14" ht="15.75" thickBot="1" x14ac:dyDescent="0.3">
      <c r="B24" s="10"/>
      <c r="C24" s="10"/>
      <c r="E24" s="52" t="s">
        <v>104</v>
      </c>
      <c r="F24" s="53"/>
      <c r="G24" s="54"/>
      <c r="H24" s="52" t="s">
        <v>108</v>
      </c>
      <c r="I24" s="53"/>
      <c r="J24" s="54"/>
    </row>
    <row r="25" spans="1:14" ht="15" customHeight="1" thickBot="1" x14ac:dyDescent="0.3">
      <c r="B25" s="10"/>
      <c r="C25" s="10"/>
      <c r="E25" s="30" t="s">
        <v>105</v>
      </c>
      <c r="F25" s="31" t="s">
        <v>61</v>
      </c>
      <c r="G25" s="31" t="s">
        <v>62</v>
      </c>
      <c r="H25" s="31" t="s">
        <v>29</v>
      </c>
      <c r="I25" s="31" t="s">
        <v>106</v>
      </c>
      <c r="J25" s="31" t="s">
        <v>107</v>
      </c>
    </row>
    <row r="26" spans="1:14" ht="15" customHeight="1" thickBot="1" x14ac:dyDescent="0.3">
      <c r="B26" s="10"/>
      <c r="C26" s="10"/>
      <c r="E26" s="30">
        <v>50</v>
      </c>
      <c r="F26" s="31">
        <v>50</v>
      </c>
      <c r="G26" s="31">
        <v>50</v>
      </c>
      <c r="H26" s="31">
        <v>20</v>
      </c>
      <c r="I26" s="31">
        <v>20</v>
      </c>
      <c r="J26" s="31">
        <v>5</v>
      </c>
    </row>
    <row r="27" spans="1:14" ht="15" customHeight="1" thickBot="1" x14ac:dyDescent="0.3">
      <c r="B27" s="10"/>
      <c r="C27" s="10"/>
      <c r="E27" s="30">
        <v>100</v>
      </c>
      <c r="F27" s="31">
        <v>100</v>
      </c>
      <c r="G27" s="31">
        <v>100</v>
      </c>
      <c r="H27" s="31">
        <v>30</v>
      </c>
      <c r="I27" s="31">
        <v>30</v>
      </c>
      <c r="J27" s="31">
        <v>5</v>
      </c>
    </row>
    <row r="28" spans="1:14" ht="15" customHeight="1" thickBot="1" x14ac:dyDescent="0.3">
      <c r="B28" s="10"/>
      <c r="C28" s="10"/>
      <c r="E28" s="30">
        <v>200</v>
      </c>
      <c r="F28" s="31">
        <v>200</v>
      </c>
      <c r="G28" s="31">
        <v>200</v>
      </c>
      <c r="H28" s="31">
        <v>30</v>
      </c>
      <c r="I28" s="31">
        <v>30</v>
      </c>
      <c r="J28" s="31">
        <v>5</v>
      </c>
    </row>
    <row r="29" spans="1:14" ht="15" customHeight="1" thickBot="1" x14ac:dyDescent="0.3">
      <c r="B29" s="10"/>
      <c r="C29" s="10"/>
      <c r="E29" s="30">
        <v>500</v>
      </c>
      <c r="F29" s="31">
        <v>500</v>
      </c>
      <c r="G29" s="31">
        <v>500</v>
      </c>
      <c r="H29" s="31">
        <v>50</v>
      </c>
      <c r="I29" s="31">
        <v>50</v>
      </c>
      <c r="J29" s="31">
        <v>10</v>
      </c>
    </row>
    <row r="30" spans="1:14" ht="15" customHeight="1" thickBot="1" x14ac:dyDescent="0.3">
      <c r="B30" s="10"/>
      <c r="C30" s="10"/>
      <c r="E30" s="30">
        <v>1000</v>
      </c>
      <c r="F30" s="31">
        <v>800</v>
      </c>
      <c r="G30" s="31">
        <v>500</v>
      </c>
      <c r="H30" s="31">
        <v>100</v>
      </c>
      <c r="I30" s="31">
        <v>100</v>
      </c>
      <c r="J30" s="31">
        <v>10</v>
      </c>
    </row>
    <row r="31" spans="1:14" ht="15" customHeight="1" thickBot="1" x14ac:dyDescent="0.3">
      <c r="B31" s="10"/>
      <c r="C31" s="10"/>
      <c r="E31" s="30">
        <v>2000</v>
      </c>
      <c r="F31" s="31">
        <v>1000</v>
      </c>
      <c r="G31" s="31">
        <v>500</v>
      </c>
      <c r="H31" s="31">
        <v>100</v>
      </c>
      <c r="I31" s="31">
        <v>100</v>
      </c>
      <c r="J31" s="31">
        <v>10</v>
      </c>
    </row>
    <row r="32" spans="1:14" ht="15" customHeight="1" thickBot="1" x14ac:dyDescent="0.3">
      <c r="B32" s="10"/>
      <c r="C32" s="10"/>
      <c r="E32" s="30">
        <v>3000</v>
      </c>
      <c r="F32" s="31">
        <v>1500</v>
      </c>
      <c r="G32" s="31">
        <v>800</v>
      </c>
      <c r="H32" s="31">
        <v>100</v>
      </c>
      <c r="I32" s="31">
        <v>100</v>
      </c>
      <c r="J32" s="31">
        <v>10</v>
      </c>
    </row>
    <row r="33" spans="1:20" ht="15" customHeight="1" x14ac:dyDescent="0.25">
      <c r="B33" s="10"/>
      <c r="C33" s="10"/>
      <c r="F33" s="9"/>
    </row>
    <row r="34" spans="1:20" s="25" customFormat="1" x14ac:dyDescent="0.25">
      <c r="A34" s="1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B35" s="51" t="s">
        <v>44</v>
      </c>
      <c r="C35" s="51"/>
      <c r="D35" s="37" t="s">
        <v>30</v>
      </c>
      <c r="E35" s="4"/>
    </row>
    <row r="36" spans="1:20" x14ac:dyDescent="0.25">
      <c r="B36" s="8" t="s">
        <v>29</v>
      </c>
      <c r="C36" s="4">
        <v>400</v>
      </c>
      <c r="D36" s="4">
        <v>2780</v>
      </c>
      <c r="E36" s="4"/>
    </row>
    <row r="40" spans="1:20" x14ac:dyDescent="0.25">
      <c r="B40" s="13" t="s">
        <v>50</v>
      </c>
    </row>
    <row r="41" spans="1:20" x14ac:dyDescent="0.25">
      <c r="B41" s="4" t="s">
        <v>93</v>
      </c>
    </row>
    <row r="43" spans="1:20" x14ac:dyDescent="0.25">
      <c r="B43" s="82" t="s">
        <v>145</v>
      </c>
      <c r="C43" s="82"/>
      <c r="D43" s="82"/>
      <c r="E43" s="82"/>
      <c r="F43" s="82"/>
      <c r="G43" s="82"/>
    </row>
    <row r="44" spans="1:20" x14ac:dyDescent="0.25">
      <c r="F44" s="84" t="s">
        <v>35</v>
      </c>
      <c r="G44" s="84"/>
    </row>
    <row r="45" spans="1:20" x14ac:dyDescent="0.25">
      <c r="F45" s="76" t="s">
        <v>88</v>
      </c>
      <c r="G45" s="4" t="s">
        <v>97</v>
      </c>
    </row>
    <row r="46" spans="1:20" x14ac:dyDescent="0.25">
      <c r="F46" s="83"/>
      <c r="G46" s="4" t="s">
        <v>41</v>
      </c>
    </row>
    <row r="47" spans="1:20" x14ac:dyDescent="0.25">
      <c r="F47" s="83"/>
      <c r="G47" s="4"/>
    </row>
    <row r="48" spans="1:20" x14ac:dyDescent="0.25">
      <c r="F48" s="77"/>
      <c r="G48" s="4" t="s">
        <v>90</v>
      </c>
    </row>
    <row r="49" spans="2:7" x14ac:dyDescent="0.25">
      <c r="F49" s="76" t="s">
        <v>89</v>
      </c>
      <c r="G49" s="4" t="s">
        <v>97</v>
      </c>
    </row>
    <row r="50" spans="2:7" x14ac:dyDescent="0.25">
      <c r="F50" s="83"/>
      <c r="G50" s="4" t="s">
        <v>41</v>
      </c>
    </row>
    <row r="51" spans="2:7" x14ac:dyDescent="0.25">
      <c r="F51" s="83"/>
      <c r="G51" s="4"/>
    </row>
    <row r="52" spans="2:7" x14ac:dyDescent="0.25">
      <c r="F52" s="77"/>
      <c r="G52" s="4" t="s">
        <v>91</v>
      </c>
    </row>
    <row r="53" spans="2:7" x14ac:dyDescent="0.25">
      <c r="F53" s="27"/>
      <c r="G53" s="9"/>
    </row>
    <row r="54" spans="2:7" x14ac:dyDescent="0.25">
      <c r="F54" s="27"/>
      <c r="G54" s="9"/>
    </row>
    <row r="55" spans="2:7" x14ac:dyDescent="0.25">
      <c r="F55" s="27"/>
      <c r="G55" s="9"/>
    </row>
    <row r="56" spans="2:7" x14ac:dyDescent="0.25">
      <c r="F56" s="27"/>
      <c r="G56" s="9"/>
    </row>
    <row r="57" spans="2:7" x14ac:dyDescent="0.25">
      <c r="E57" s="1" t="s">
        <v>125</v>
      </c>
      <c r="F57" s="27"/>
      <c r="G57" s="9"/>
    </row>
    <row r="58" spans="2:7" ht="45" x14ac:dyDescent="0.25">
      <c r="E58" s="40" t="s">
        <v>126</v>
      </c>
      <c r="F58" s="27">
        <f>1347000*100/(198*184*50)</f>
        <v>73.945981554677203</v>
      </c>
      <c r="G58" s="9"/>
    </row>
    <row r="59" spans="2:7" ht="45" x14ac:dyDescent="0.25">
      <c r="E59" s="40" t="s">
        <v>127</v>
      </c>
      <c r="F59" s="27">
        <f>1277000*100/(198*182*50)</f>
        <v>70.87357087357087</v>
      </c>
      <c r="G59" s="9"/>
    </row>
    <row r="60" spans="2:7" x14ac:dyDescent="0.25">
      <c r="F60" s="27"/>
      <c r="G60" s="9"/>
    </row>
    <row r="61" spans="2:7" x14ac:dyDescent="0.25">
      <c r="F61" s="27"/>
      <c r="G61" s="9"/>
    </row>
    <row r="62" spans="2:7" x14ac:dyDescent="0.25">
      <c r="B62" s="82" t="s">
        <v>146</v>
      </c>
      <c r="C62" s="82"/>
      <c r="D62" s="82"/>
      <c r="E62" s="82"/>
      <c r="F62" s="82"/>
      <c r="G62" s="82"/>
    </row>
    <row r="63" spans="2:7" x14ac:dyDescent="0.25">
      <c r="F63" s="84" t="s">
        <v>35</v>
      </c>
      <c r="G63" s="84"/>
    </row>
    <row r="64" spans="2:7" x14ac:dyDescent="0.25">
      <c r="F64" s="76" t="s">
        <v>88</v>
      </c>
      <c r="G64" s="4" t="s">
        <v>148</v>
      </c>
    </row>
    <row r="65" spans="2:7" x14ac:dyDescent="0.25">
      <c r="F65" s="83"/>
      <c r="G65" s="4" t="s">
        <v>147</v>
      </c>
    </row>
    <row r="66" spans="2:7" x14ac:dyDescent="0.25">
      <c r="F66" s="83"/>
      <c r="G66" s="4"/>
    </row>
    <row r="67" spans="2:7" x14ac:dyDescent="0.25">
      <c r="F67" s="77"/>
      <c r="G67" s="4" t="s">
        <v>90</v>
      </c>
    </row>
    <row r="68" spans="2:7" x14ac:dyDescent="0.25">
      <c r="F68" s="76" t="s">
        <v>89</v>
      </c>
      <c r="G68" s="4" t="s">
        <v>148</v>
      </c>
    </row>
    <row r="69" spans="2:7" x14ac:dyDescent="0.25">
      <c r="F69" s="83"/>
      <c r="G69" s="4" t="s">
        <v>147</v>
      </c>
    </row>
    <row r="70" spans="2:7" x14ac:dyDescent="0.25">
      <c r="F70" s="83"/>
      <c r="G70" s="4"/>
    </row>
    <row r="71" spans="2:7" x14ac:dyDescent="0.25">
      <c r="F71" s="77"/>
      <c r="G71" s="4" t="s">
        <v>90</v>
      </c>
    </row>
    <row r="72" spans="2:7" x14ac:dyDescent="0.25">
      <c r="F72" s="27"/>
      <c r="G72" s="9"/>
    </row>
    <row r="73" spans="2:7" x14ac:dyDescent="0.25">
      <c r="F73" s="27"/>
      <c r="G73" s="9"/>
    </row>
    <row r="74" spans="2:7" ht="30" x14ac:dyDescent="0.25">
      <c r="B74" s="38" t="s">
        <v>120</v>
      </c>
      <c r="F74" s="27"/>
      <c r="G74" s="9"/>
    </row>
    <row r="75" spans="2:7" x14ac:dyDescent="0.25">
      <c r="B75" s="39" t="s">
        <v>115</v>
      </c>
      <c r="F75" s="27"/>
      <c r="G75" s="9"/>
    </row>
    <row r="76" spans="2:7" x14ac:dyDescent="0.25">
      <c r="B76" s="4" t="s">
        <v>116</v>
      </c>
      <c r="F76" s="27"/>
      <c r="G76" s="9"/>
    </row>
    <row r="77" spans="2:7" x14ac:dyDescent="0.25">
      <c r="B77" s="4" t="s">
        <v>117</v>
      </c>
      <c r="F77" s="27"/>
      <c r="G77" s="9"/>
    </row>
    <row r="78" spans="2:7" x14ac:dyDescent="0.25">
      <c r="B78" s="4" t="s">
        <v>118</v>
      </c>
      <c r="F78" s="27"/>
      <c r="G78" s="9"/>
    </row>
    <row r="79" spans="2:7" x14ac:dyDescent="0.25">
      <c r="B79" s="4" t="s">
        <v>119</v>
      </c>
      <c r="F79" s="27"/>
      <c r="G79" s="9"/>
    </row>
    <row r="80" spans="2:7" x14ac:dyDescent="0.25">
      <c r="F80" s="27"/>
      <c r="G80" s="9"/>
    </row>
    <row r="82" spans="1:22" ht="15" customHeight="1" x14ac:dyDescent="0.25">
      <c r="A82" s="80" t="s">
        <v>66</v>
      </c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</row>
    <row r="83" spans="1:22" ht="15" customHeight="1" x14ac:dyDescent="0.25">
      <c r="A83" s="80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</row>
    <row r="84" spans="1:22" ht="30" customHeight="1" x14ac:dyDescent="0.4">
      <c r="A84" s="67" t="s">
        <v>149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</row>
    <row r="85" spans="1:22" x14ac:dyDescent="0.25">
      <c r="A85" s="47" t="s">
        <v>70</v>
      </c>
      <c r="B85" s="48"/>
      <c r="C85" s="48"/>
      <c r="D85" s="48"/>
      <c r="E85" s="48"/>
      <c r="F85" s="49"/>
      <c r="G85" s="73" t="s">
        <v>85</v>
      </c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5"/>
      <c r="T85" s="18" t="s">
        <v>84</v>
      </c>
      <c r="U85" s="29" t="s">
        <v>99</v>
      </c>
      <c r="V85" s="78" t="s">
        <v>67</v>
      </c>
    </row>
    <row r="86" spans="1:22" ht="71.25" x14ac:dyDescent="0.25">
      <c r="A86" s="5" t="s">
        <v>8</v>
      </c>
      <c r="B86" s="5" t="s">
        <v>0</v>
      </c>
      <c r="C86" s="5" t="s">
        <v>21</v>
      </c>
      <c r="D86" s="5" t="s">
        <v>61</v>
      </c>
      <c r="E86" s="5" t="s">
        <v>62</v>
      </c>
      <c r="F86" s="5" t="s">
        <v>100</v>
      </c>
      <c r="G86" s="5" t="s">
        <v>63</v>
      </c>
      <c r="H86" s="5" t="s">
        <v>24</v>
      </c>
      <c r="I86" s="6" t="s">
        <v>45</v>
      </c>
      <c r="J86" s="6" t="s">
        <v>46</v>
      </c>
      <c r="K86" s="6" t="s">
        <v>47</v>
      </c>
      <c r="L86" s="6" t="s">
        <v>9</v>
      </c>
      <c r="M86" s="7" t="s">
        <v>45</v>
      </c>
      <c r="N86" s="7" t="s">
        <v>46</v>
      </c>
      <c r="O86" s="7" t="s">
        <v>47</v>
      </c>
      <c r="P86" s="7" t="s">
        <v>10</v>
      </c>
      <c r="Q86" s="2" t="s">
        <v>64</v>
      </c>
      <c r="R86" s="2" t="s">
        <v>5</v>
      </c>
      <c r="S86" s="2" t="s">
        <v>31</v>
      </c>
      <c r="T86" s="15" t="s">
        <v>32</v>
      </c>
      <c r="U86" s="2" t="s">
        <v>102</v>
      </c>
      <c r="V86" s="79"/>
    </row>
    <row r="87" spans="1:22" x14ac:dyDescent="0.25">
      <c r="A87" s="72">
        <v>1</v>
      </c>
      <c r="B87" s="4" t="s">
        <v>94</v>
      </c>
      <c r="C87" s="4">
        <v>198</v>
      </c>
      <c r="D87" s="4">
        <v>182</v>
      </c>
      <c r="E87" s="4">
        <v>50</v>
      </c>
      <c r="F87" s="76">
        <f>I$19*J$19</f>
        <v>60000</v>
      </c>
      <c r="G87" s="4">
        <v>1277000</v>
      </c>
      <c r="H87" s="4">
        <f>(C87+H$28)*(D87+I$28)*(E87+J$26)-G87</f>
        <v>1381480</v>
      </c>
      <c r="I87" s="4">
        <f t="shared" ref="I87:K88" si="0">D$8</f>
        <v>1000</v>
      </c>
      <c r="J87" s="4">
        <f t="shared" si="0"/>
        <v>5</v>
      </c>
      <c r="K87" s="4">
        <f t="shared" si="0"/>
        <v>2</v>
      </c>
      <c r="L87" s="4">
        <f>I87*J87*K87</f>
        <v>10000</v>
      </c>
      <c r="M87" s="4">
        <f t="shared" ref="M87:O88" si="1">G$8</f>
        <v>1000</v>
      </c>
      <c r="N87" s="4">
        <f t="shared" si="1"/>
        <v>1</v>
      </c>
      <c r="O87" s="4">
        <f t="shared" si="1"/>
        <v>2.5</v>
      </c>
      <c r="P87" s="4">
        <f>M87*N87*O87</f>
        <v>2500</v>
      </c>
      <c r="Q87" s="11">
        <f>(H87*(C$10/100)/L87+H87*(C$11/100)/P87)/60</f>
        <v>3.6839466666666665</v>
      </c>
      <c r="R87" s="11">
        <f>Q87*100/C$13</f>
        <v>6.1399111111111102</v>
      </c>
      <c r="S87" s="4">
        <f>C$19*R87</f>
        <v>3683.9466666666663</v>
      </c>
      <c r="T87" s="16">
        <f>(C87+H$28)*(D87+I$28)*(E87+J$26)*C$36*(D$36*10^-9)</f>
        <v>2956.2297600000002</v>
      </c>
      <c r="U87" s="11"/>
      <c r="V87" s="4"/>
    </row>
    <row r="88" spans="1:22" x14ac:dyDescent="0.25">
      <c r="A88" s="72"/>
      <c r="B88" s="4" t="s">
        <v>95</v>
      </c>
      <c r="C88" s="4">
        <v>198</v>
      </c>
      <c r="D88" s="4">
        <v>184</v>
      </c>
      <c r="E88" s="4">
        <v>50</v>
      </c>
      <c r="F88" s="77"/>
      <c r="G88" s="4">
        <v>1347000</v>
      </c>
      <c r="H88" s="4">
        <f>(C88+H$28)*(D88+I$28)*(E88+J$26)-G88</f>
        <v>1336560</v>
      </c>
      <c r="I88" s="4">
        <f t="shared" si="0"/>
        <v>1000</v>
      </c>
      <c r="J88" s="4">
        <f t="shared" si="0"/>
        <v>5</v>
      </c>
      <c r="K88" s="4">
        <f t="shared" si="0"/>
        <v>2</v>
      </c>
      <c r="L88" s="4">
        <f>I88*J88*K88</f>
        <v>10000</v>
      </c>
      <c r="M88" s="4">
        <f t="shared" si="1"/>
        <v>1000</v>
      </c>
      <c r="N88" s="4">
        <f t="shared" si="1"/>
        <v>1</v>
      </c>
      <c r="O88" s="4">
        <f t="shared" si="1"/>
        <v>2.5</v>
      </c>
      <c r="P88" s="4">
        <f>M88*N88*O88</f>
        <v>2500</v>
      </c>
      <c r="Q88" s="11">
        <f>(H88*(C$10/100)/L88+H88*(C$11/100)/P88)/60</f>
        <v>3.5641600000000002</v>
      </c>
      <c r="R88" s="11">
        <f>Q88*100/C$13</f>
        <v>5.940266666666667</v>
      </c>
      <c r="S88" s="4">
        <f>C$19*R88</f>
        <v>3564.1600000000003</v>
      </c>
      <c r="T88" s="16">
        <f>(C88+H$28)*(D88+I$28)*(E88+J$26)*C$36*(D$36*10^-9)</f>
        <v>2984.1187199999999</v>
      </c>
      <c r="U88" s="11"/>
      <c r="V88" s="4"/>
    </row>
    <row r="89" spans="1:22" x14ac:dyDescent="0.25">
      <c r="A89" s="72"/>
      <c r="B89" s="4" t="s">
        <v>96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>
        <f>(N$19/100)*(S87+S88+T87+T88)</f>
        <v>1318.8455146666668</v>
      </c>
      <c r="V89" s="11">
        <f>(F87+S87+S88+T87+T88+U89)*C14</f>
        <v>74507.300661333327</v>
      </c>
    </row>
    <row r="92" spans="1:22" ht="26.25" customHeight="1" x14ac:dyDescent="0.4">
      <c r="A92" s="67" t="s">
        <v>150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</row>
    <row r="93" spans="1:22" x14ac:dyDescent="0.25">
      <c r="A93" s="47" t="s">
        <v>70</v>
      </c>
      <c r="B93" s="48"/>
      <c r="C93" s="48"/>
      <c r="D93" s="48"/>
      <c r="E93" s="48"/>
      <c r="F93" s="49"/>
      <c r="G93" s="73" t="s">
        <v>85</v>
      </c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5"/>
      <c r="T93" s="18" t="s">
        <v>84</v>
      </c>
      <c r="U93" s="29" t="s">
        <v>99</v>
      </c>
      <c r="V93" s="78" t="s">
        <v>67</v>
      </c>
    </row>
    <row r="94" spans="1:22" ht="71.25" x14ac:dyDescent="0.25">
      <c r="A94" s="5" t="s">
        <v>8</v>
      </c>
      <c r="B94" s="5" t="s">
        <v>0</v>
      </c>
      <c r="C94" s="5" t="s">
        <v>21</v>
      </c>
      <c r="D94" s="5" t="s">
        <v>61</v>
      </c>
      <c r="E94" s="5" t="s">
        <v>62</v>
      </c>
      <c r="F94" s="5" t="s">
        <v>100</v>
      </c>
      <c r="G94" s="5" t="s">
        <v>63</v>
      </c>
      <c r="H94" s="5" t="s">
        <v>24</v>
      </c>
      <c r="I94" s="6" t="s">
        <v>45</v>
      </c>
      <c r="J94" s="6" t="s">
        <v>46</v>
      </c>
      <c r="K94" s="6" t="s">
        <v>47</v>
      </c>
      <c r="L94" s="6" t="s">
        <v>9</v>
      </c>
      <c r="M94" s="7" t="s">
        <v>45</v>
      </c>
      <c r="N94" s="7" t="s">
        <v>46</v>
      </c>
      <c r="O94" s="7" t="s">
        <v>47</v>
      </c>
      <c r="P94" s="7" t="s">
        <v>10</v>
      </c>
      <c r="Q94" s="2" t="s">
        <v>64</v>
      </c>
      <c r="R94" s="2" t="s">
        <v>5</v>
      </c>
      <c r="S94" s="2" t="s">
        <v>31</v>
      </c>
      <c r="T94" s="15" t="s">
        <v>32</v>
      </c>
      <c r="U94" s="2" t="s">
        <v>102</v>
      </c>
      <c r="V94" s="79"/>
    </row>
    <row r="95" spans="1:22" x14ac:dyDescent="0.25">
      <c r="A95" s="72">
        <v>1</v>
      </c>
      <c r="B95" s="4" t="s">
        <v>94</v>
      </c>
      <c r="C95" s="4">
        <v>201</v>
      </c>
      <c r="D95" s="4">
        <v>187</v>
      </c>
      <c r="E95" s="4">
        <v>50</v>
      </c>
      <c r="F95" s="76">
        <f>I$19*J$19</f>
        <v>60000</v>
      </c>
      <c r="G95" s="4">
        <f>C95*D95*E95*0.7</f>
        <v>1315545</v>
      </c>
      <c r="H95" s="4">
        <f>(C95+H$28)*(D95+I$28)*(E95+J$26)-G95</f>
        <v>1441440</v>
      </c>
      <c r="I95" s="4">
        <f>D$8</f>
        <v>1000</v>
      </c>
      <c r="J95" s="4">
        <f t="shared" ref="I95:K96" si="2">E$8</f>
        <v>5</v>
      </c>
      <c r="K95" s="4">
        <f t="shared" si="2"/>
        <v>2</v>
      </c>
      <c r="L95" s="4">
        <f>I95*J95*K95</f>
        <v>10000</v>
      </c>
      <c r="M95" s="4">
        <f t="shared" ref="M95:O96" si="3">G$8</f>
        <v>1000</v>
      </c>
      <c r="N95" s="4">
        <f t="shared" si="3"/>
        <v>1</v>
      </c>
      <c r="O95" s="4">
        <f t="shared" si="3"/>
        <v>2.5</v>
      </c>
      <c r="P95" s="4">
        <f>M95*N95*O95</f>
        <v>2500</v>
      </c>
      <c r="Q95" s="11">
        <f>(H95*(C$10/100)/L95+H95*(C$11/100)/P95)/60</f>
        <v>3.8438400000000001</v>
      </c>
      <c r="R95" s="11">
        <f>Q95*100/C$13</f>
        <v>6.4064000000000005</v>
      </c>
      <c r="S95" s="4">
        <f>C$19*R95</f>
        <v>3843.84</v>
      </c>
      <c r="T95" s="16">
        <f>(C95+H$28)*(D95+I$28)*(E95+J$26)*C$36*(D$36*10^-9)</f>
        <v>3065.7673199999999</v>
      </c>
      <c r="U95" s="11"/>
      <c r="V95" s="4"/>
    </row>
    <row r="96" spans="1:22" x14ac:dyDescent="0.25">
      <c r="A96" s="72"/>
      <c r="B96" s="4" t="s">
        <v>95</v>
      </c>
      <c r="C96" s="4">
        <v>201</v>
      </c>
      <c r="D96" s="4">
        <v>187</v>
      </c>
      <c r="E96" s="4">
        <v>50</v>
      </c>
      <c r="F96" s="77"/>
      <c r="G96" s="4">
        <f>C96*D96*E96*0.7</f>
        <v>1315545</v>
      </c>
      <c r="H96" s="4">
        <f>(C96+H$28)*(D96+I$28)*(E96+J$26)-G96</f>
        <v>1441440</v>
      </c>
      <c r="I96" s="4">
        <f t="shared" si="2"/>
        <v>1000</v>
      </c>
      <c r="J96" s="4">
        <f t="shared" si="2"/>
        <v>5</v>
      </c>
      <c r="K96" s="4">
        <f t="shared" si="2"/>
        <v>2</v>
      </c>
      <c r="L96" s="4">
        <f>I96*J96*K96</f>
        <v>10000</v>
      </c>
      <c r="M96" s="4">
        <f t="shared" si="3"/>
        <v>1000</v>
      </c>
      <c r="N96" s="4">
        <f t="shared" si="3"/>
        <v>1</v>
      </c>
      <c r="O96" s="4">
        <f t="shared" si="3"/>
        <v>2.5</v>
      </c>
      <c r="P96" s="4">
        <f>M96*N96*O96</f>
        <v>2500</v>
      </c>
      <c r="Q96" s="11">
        <f>(H96*(C$10/100)/L96+H96*(C$11/100)/P96)/60</f>
        <v>3.8438400000000001</v>
      </c>
      <c r="R96" s="11">
        <f>Q96*100/C$13</f>
        <v>6.4064000000000005</v>
      </c>
      <c r="S96" s="4">
        <f>C$19*R96</f>
        <v>3843.84</v>
      </c>
      <c r="T96" s="16">
        <f>(C96+H$28)*(D96+I$28)*(E96+J$26)*C$36*(D$36*10^-9)</f>
        <v>3065.7673199999999</v>
      </c>
      <c r="U96" s="11"/>
      <c r="V96" s="4"/>
    </row>
    <row r="97" spans="1:22" x14ac:dyDescent="0.25">
      <c r="A97" s="72"/>
      <c r="B97" s="4" t="s">
        <v>96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>
        <f>(N$19/100)*(S95+S96+T95+T96)</f>
        <v>1381.921464</v>
      </c>
      <c r="V97" s="11">
        <f>(F95+S95+S96+T95+T96+U97)*C14</f>
        <v>75201.13610399999</v>
      </c>
    </row>
  </sheetData>
  <mergeCells count="31">
    <mergeCell ref="A93:F93"/>
    <mergeCell ref="G93:S93"/>
    <mergeCell ref="V93:V94"/>
    <mergeCell ref="A95:A97"/>
    <mergeCell ref="F95:F96"/>
    <mergeCell ref="V85:V86"/>
    <mergeCell ref="A82:V83"/>
    <mergeCell ref="B43:G43"/>
    <mergeCell ref="B62:G62"/>
    <mergeCell ref="F49:F52"/>
    <mergeCell ref="F63:G63"/>
    <mergeCell ref="F64:F67"/>
    <mergeCell ref="F68:F71"/>
    <mergeCell ref="F45:F48"/>
    <mergeCell ref="F44:G44"/>
    <mergeCell ref="A92:V92"/>
    <mergeCell ref="B1:I2"/>
    <mergeCell ref="B3:I3"/>
    <mergeCell ref="D4:F4"/>
    <mergeCell ref="G4:I4"/>
    <mergeCell ref="B35:C35"/>
    <mergeCell ref="A17:C17"/>
    <mergeCell ref="E17:J17"/>
    <mergeCell ref="L17:N17"/>
    <mergeCell ref="E24:G24"/>
    <mergeCell ref="H24:J24"/>
    <mergeCell ref="A87:A89"/>
    <mergeCell ref="G85:S85"/>
    <mergeCell ref="A85:F85"/>
    <mergeCell ref="F87:F88"/>
    <mergeCell ref="A84:V8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Milling Operation</vt:lpstr>
      <vt:lpstr>TURNING OPERATION</vt:lpstr>
      <vt:lpstr>Sheet Metal Forming Operation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Subhashchandra D</dc:creator>
  <cp:lastModifiedBy>SDC-2</cp:lastModifiedBy>
  <cp:lastPrinted>2025-09-23T11:01:08Z</cp:lastPrinted>
  <dcterms:created xsi:type="dcterms:W3CDTF">2025-09-17T03:52:00Z</dcterms:created>
  <dcterms:modified xsi:type="dcterms:W3CDTF">2025-12-29T09:24:43Z</dcterms:modified>
</cp:coreProperties>
</file>